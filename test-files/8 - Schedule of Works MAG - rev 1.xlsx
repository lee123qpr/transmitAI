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629"/>
  <workbookPr defaultThemeVersion="124226"/>
  <mc:AlternateContent xmlns:mc="http://schemas.openxmlformats.org/markup-compatibility/2006">
    <mc:Choice Requires="x15">
      <x15ac:absPath xmlns:x15ac="http://schemas.microsoft.com/office/spreadsheetml/2010/11/ac" url="C:\Users\x\iCloudDrive\Sergio\95 Malvern Road\"/>
    </mc:Choice>
  </mc:AlternateContent>
  <xr:revisionPtr revIDLastSave="0" documentId="13_ncr:1_{23BCD6FB-67D4-4753-9761-EE7DA6E24F5D}" xr6:coauthVersionLast="43" xr6:coauthVersionMax="43" xr10:uidLastSave="{00000000-0000-0000-0000-000000000000}"/>
  <bookViews>
    <workbookView xWindow="-120" yWindow="-120" windowWidth="20730" windowHeight="11160" xr2:uid="{00000000-000D-0000-FFFF-FFFF00000000}"/>
  </bookViews>
  <sheets>
    <sheet name="Summary" sheetId="5" r:id="rId1"/>
    <sheet name="Schedule" sheetId="1" r:id="rId2"/>
    <sheet name="Prelims" sheetId="3" r:id="rId3"/>
    <sheet name="SoRs" sheetId="4" r:id="rId4"/>
    <sheet name="Measure" sheetId="6" r:id="rId5"/>
  </sheets>
  <definedNames>
    <definedName name="_xlnm.Print_Area" localSheetId="2">Prelims!$A$1:$I$88</definedName>
    <definedName name="_xlnm.Print_Area" localSheetId="1">Schedule!$A$1:$C$715</definedName>
    <definedName name="_xlnm.Print_Area" localSheetId="3">SoRs!$A$1:$G$47</definedName>
    <definedName name="_xlnm.Print_Area" localSheetId="0">Summary!$A$1:$C$75</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G126" i="1" l="1"/>
  <c r="G128" i="1"/>
  <c r="L642" i="1" l="1"/>
  <c r="D705" i="1"/>
  <c r="D713" i="1"/>
  <c r="D693" i="1"/>
  <c r="D639" i="1"/>
  <c r="D634" i="1"/>
  <c r="C527" i="1"/>
  <c r="D527" i="1" s="1"/>
  <c r="D510" i="1"/>
  <c r="D444" i="1"/>
  <c r="H392" i="1"/>
  <c r="D319" i="1"/>
  <c r="D295" i="1"/>
  <c r="D267" i="1"/>
  <c r="D262" i="1"/>
  <c r="D251" i="1"/>
  <c r="D244" i="1"/>
  <c r="C107" i="1"/>
  <c r="D107" i="1" s="1"/>
  <c r="C115" i="1"/>
  <c r="D115" i="1"/>
  <c r="H390" i="1"/>
  <c r="C171" i="1"/>
  <c r="C48" i="5" l="1"/>
  <c r="C9" i="5"/>
  <c r="C705" i="1"/>
  <c r="C60" i="5" s="1"/>
  <c r="C693" i="1"/>
  <c r="C58" i="5" s="1"/>
  <c r="C665" i="1"/>
  <c r="C642" i="1"/>
  <c r="C639" i="1"/>
  <c r="C54" i="5" s="1"/>
  <c r="H37" i="6"/>
  <c r="H38" i="6"/>
  <c r="H39" i="6"/>
  <c r="H40" i="6"/>
  <c r="H41" i="6"/>
  <c r="H42" i="6"/>
  <c r="H43" i="6"/>
  <c r="H44" i="6"/>
  <c r="H45" i="6"/>
  <c r="H46" i="6"/>
  <c r="H47" i="6"/>
  <c r="H48" i="6"/>
  <c r="H49" i="6"/>
  <c r="H50" i="6"/>
  <c r="H36" i="6"/>
  <c r="C517" i="1"/>
  <c r="C514" i="1"/>
  <c r="C506" i="1"/>
  <c r="J501" i="1"/>
  <c r="C501" i="1" s="1"/>
  <c r="I496" i="1"/>
  <c r="C496" i="1" s="1"/>
  <c r="I493" i="1"/>
  <c r="C493" i="1" s="1"/>
  <c r="C483" i="1"/>
  <c r="J35" i="6"/>
  <c r="J32" i="6"/>
  <c r="J29" i="6"/>
  <c r="C478" i="1"/>
  <c r="K470" i="1"/>
  <c r="C470" i="1" s="1"/>
  <c r="C467" i="1"/>
  <c r="C463" i="1"/>
  <c r="C447" i="1"/>
  <c r="K456" i="1"/>
  <c r="C456" i="1" s="1"/>
  <c r="L29" i="6"/>
  <c r="M29" i="6"/>
  <c r="N29" i="6"/>
  <c r="O29" i="6"/>
  <c r="P29" i="6"/>
  <c r="Q29" i="6"/>
  <c r="R29" i="6"/>
  <c r="K29" i="6"/>
  <c r="C444" i="1"/>
  <c r="C42" i="5" s="1"/>
  <c r="C428" i="1"/>
  <c r="C418" i="1"/>
  <c r="C413" i="1"/>
  <c r="F29" i="6"/>
  <c r="G29" i="6"/>
  <c r="H29" i="6"/>
  <c r="I29" i="6"/>
  <c r="C392" i="1"/>
  <c r="C394" i="1" s="1"/>
  <c r="J387" i="1"/>
  <c r="U37" i="6"/>
  <c r="C370" i="1" s="1"/>
  <c r="U36" i="6"/>
  <c r="U35" i="6"/>
  <c r="U34" i="6"/>
  <c r="U32" i="6"/>
  <c r="W29" i="6"/>
  <c r="U33" i="6" s="1"/>
  <c r="X29" i="6"/>
  <c r="V29" i="6"/>
  <c r="V30" i="6"/>
  <c r="V23" i="6"/>
  <c r="V24" i="6"/>
  <c r="V25" i="6"/>
  <c r="V26" i="6"/>
  <c r="V27" i="6"/>
  <c r="V28" i="6"/>
  <c r="V13" i="6"/>
  <c r="V14" i="6"/>
  <c r="V15" i="6"/>
  <c r="V16" i="6"/>
  <c r="V17" i="6"/>
  <c r="V18" i="6"/>
  <c r="V19" i="6"/>
  <c r="V20" i="6"/>
  <c r="V21" i="6"/>
  <c r="V12" i="6"/>
  <c r="V4" i="6"/>
  <c r="V5" i="6"/>
  <c r="V3" i="6"/>
  <c r="C333" i="1"/>
  <c r="C329" i="1"/>
  <c r="C319" i="1"/>
  <c r="C34" i="5" s="1"/>
  <c r="C56" i="5" l="1"/>
  <c r="D665" i="1"/>
  <c r="C651" i="1"/>
  <c r="C40" i="5"/>
  <c r="D394" i="1"/>
  <c r="C378" i="1"/>
  <c r="H51" i="6"/>
  <c r="C562" i="1" s="1"/>
  <c r="C634" i="1" s="1"/>
  <c r="C53" i="5" s="1"/>
  <c r="C522" i="1"/>
  <c r="C510" i="1"/>
  <c r="C46" i="5" s="1"/>
  <c r="C474" i="1"/>
  <c r="C489" i="1"/>
  <c r="C460" i="1"/>
  <c r="C436" i="1"/>
  <c r="C353" i="1"/>
  <c r="C310" i="1"/>
  <c r="C314" i="1" s="1"/>
  <c r="C303" i="1"/>
  <c r="C295" i="1"/>
  <c r="C31" i="5" s="1"/>
  <c r="C290" i="1"/>
  <c r="C267" i="1"/>
  <c r="C29" i="5" s="1"/>
  <c r="C14" i="5"/>
  <c r="C256" i="1"/>
  <c r="C254" i="1"/>
  <c r="C249" i="1"/>
  <c r="C251" i="1" s="1"/>
  <c r="C27" i="5" s="1"/>
  <c r="C244" i="1"/>
  <c r="C23" i="5" s="1"/>
  <c r="C231" i="1"/>
  <c r="C235" i="1" s="1"/>
  <c r="C194" i="1"/>
  <c r="C181" i="1"/>
  <c r="C179" i="1"/>
  <c r="C175" i="1"/>
  <c r="AM165" i="1"/>
  <c r="M165" i="1"/>
  <c r="AM161" i="1"/>
  <c r="M161" i="1"/>
  <c r="C161" i="1" s="1"/>
  <c r="AM159" i="1"/>
  <c r="M159" i="1"/>
  <c r="M156" i="1"/>
  <c r="C156" i="1" s="1"/>
  <c r="AM156" i="1"/>
  <c r="M147" i="1"/>
  <c r="AM147" i="1"/>
  <c r="C144" i="1"/>
  <c r="C134" i="1"/>
  <c r="C128" i="1"/>
  <c r="C126" i="1"/>
  <c r="C122" i="1"/>
  <c r="C16" i="5"/>
  <c r="C47" i="5" l="1"/>
  <c r="D522" i="1"/>
  <c r="C41" i="5"/>
  <c r="D436" i="1"/>
  <c r="C38" i="5"/>
  <c r="D353" i="1"/>
  <c r="C33" i="5"/>
  <c r="D314" i="1"/>
  <c r="C32" i="5"/>
  <c r="D303" i="1"/>
  <c r="C30" i="5"/>
  <c r="D290" i="1"/>
  <c r="C22" i="5"/>
  <c r="D235" i="1"/>
  <c r="C55" i="5"/>
  <c r="D651" i="1"/>
  <c r="C45" i="5"/>
  <c r="D489" i="1"/>
  <c r="C39" i="5"/>
  <c r="D378" i="1"/>
  <c r="C44" i="5"/>
  <c r="D474" i="1"/>
  <c r="C43" i="5"/>
  <c r="D460" i="1"/>
  <c r="C262" i="1"/>
  <c r="C28" i="5" s="1"/>
  <c r="C147" i="1"/>
  <c r="C159" i="1"/>
  <c r="C165" i="1"/>
  <c r="F23" i="6"/>
  <c r="G23" i="6"/>
  <c r="H23" i="6"/>
  <c r="I23" i="6"/>
  <c r="F24" i="6"/>
  <c r="G24" i="6"/>
  <c r="H24" i="6"/>
  <c r="I24" i="6"/>
  <c r="F25" i="6"/>
  <c r="G25" i="6"/>
  <c r="H25" i="6"/>
  <c r="I25" i="6"/>
  <c r="F26" i="6"/>
  <c r="G26" i="6"/>
  <c r="H26" i="6"/>
  <c r="I26" i="6"/>
  <c r="F27" i="6"/>
  <c r="G27" i="6"/>
  <c r="H27" i="6"/>
  <c r="I27" i="6"/>
  <c r="G22" i="6"/>
  <c r="F22" i="6"/>
  <c r="I22" i="6" s="1"/>
  <c r="G9" i="6"/>
  <c r="F9" i="6"/>
  <c r="I9" i="6" s="1"/>
  <c r="H9" i="6"/>
  <c r="F13" i="6"/>
  <c r="H13" i="6" s="1"/>
  <c r="G13" i="6"/>
  <c r="F14" i="6"/>
  <c r="H14" i="6" s="1"/>
  <c r="G14" i="6"/>
  <c r="F15" i="6"/>
  <c r="H15" i="6" s="1"/>
  <c r="G15" i="6"/>
  <c r="F16" i="6"/>
  <c r="H16" i="6" s="1"/>
  <c r="G16" i="6"/>
  <c r="F17" i="6"/>
  <c r="H17" i="6" s="1"/>
  <c r="G17" i="6"/>
  <c r="F18" i="6"/>
  <c r="H18" i="6" s="1"/>
  <c r="G18" i="6"/>
  <c r="F19" i="6"/>
  <c r="H19" i="6" s="1"/>
  <c r="G19" i="6"/>
  <c r="G12" i="6"/>
  <c r="F12" i="6"/>
  <c r="I12" i="6" s="1"/>
  <c r="G8" i="6"/>
  <c r="F8" i="6"/>
  <c r="I8" i="6" s="1"/>
  <c r="H8" i="6"/>
  <c r="G7" i="6"/>
  <c r="F7" i="6"/>
  <c r="H7" i="6" s="1"/>
  <c r="F5" i="6"/>
  <c r="H5" i="6" s="1"/>
  <c r="G5" i="6"/>
  <c r="F6" i="6"/>
  <c r="H6" i="6" s="1"/>
  <c r="G6" i="6"/>
  <c r="G4" i="6"/>
  <c r="F4" i="6"/>
  <c r="I4" i="6" s="1"/>
  <c r="G3" i="6"/>
  <c r="F3" i="6"/>
  <c r="I3" i="6" s="1"/>
  <c r="C228" i="1" l="1"/>
  <c r="H22" i="6"/>
  <c r="H3" i="6"/>
  <c r="H4" i="6"/>
  <c r="I7" i="6"/>
  <c r="H12" i="6"/>
  <c r="I19" i="6"/>
  <c r="I18" i="6"/>
  <c r="I17" i="6"/>
  <c r="I16" i="6"/>
  <c r="I15" i="6"/>
  <c r="I14" i="6"/>
  <c r="I13" i="6"/>
  <c r="I6" i="6"/>
  <c r="I5" i="6"/>
  <c r="G2" i="5"/>
  <c r="G38" i="4"/>
  <c r="G35" i="4"/>
  <c r="G32" i="4"/>
  <c r="G31" i="4"/>
  <c r="G27" i="4"/>
  <c r="G25" i="4"/>
  <c r="G24" i="4"/>
  <c r="G20" i="4"/>
  <c r="G14" i="4"/>
  <c r="G13" i="4"/>
  <c r="G12" i="4"/>
  <c r="G9" i="4"/>
  <c r="G30" i="4" s="1"/>
  <c r="G39" i="4" s="1"/>
  <c r="G44" i="4" s="1"/>
  <c r="G8" i="4"/>
  <c r="U6" i="4"/>
  <c r="G2" i="4"/>
  <c r="H67" i="3"/>
  <c r="H61" i="3"/>
  <c r="H42" i="3"/>
  <c r="G33" i="3"/>
  <c r="G52" i="3" s="1"/>
  <c r="G20" i="3"/>
  <c r="H20" i="3" s="1"/>
  <c r="G19" i="3"/>
  <c r="G32" i="3" s="1"/>
  <c r="H32" i="3" s="1"/>
  <c r="H18" i="3"/>
  <c r="G17" i="3"/>
  <c r="H17" i="3" s="1"/>
  <c r="G13" i="3"/>
  <c r="H13" i="3" s="1"/>
  <c r="G11" i="3"/>
  <c r="H11" i="3" s="1"/>
  <c r="G9" i="3"/>
  <c r="H9" i="3" s="1"/>
  <c r="G8" i="3"/>
  <c r="H8" i="3" s="1"/>
  <c r="H2" i="1"/>
  <c r="D228" i="1" l="1"/>
  <c r="D723" i="1" s="1"/>
  <c r="C723" i="1"/>
  <c r="E65" i="5" s="1"/>
  <c r="C21" i="5"/>
  <c r="C65" i="5" s="1"/>
  <c r="H19" i="3"/>
  <c r="G28" i="3"/>
  <c r="H28" i="3" s="1"/>
  <c r="G30" i="3"/>
  <c r="H30" i="3" s="1"/>
  <c r="G82" i="3"/>
  <c r="H82" i="3" s="1"/>
  <c r="G80" i="3"/>
  <c r="H80" i="3" s="1"/>
  <c r="G76" i="3"/>
  <c r="H76" i="3" s="1"/>
  <c r="G72" i="3"/>
  <c r="H72" i="3" s="1"/>
  <c r="G81" i="3"/>
  <c r="H81" i="3" s="1"/>
  <c r="G77" i="3"/>
  <c r="H77" i="3" s="1"/>
  <c r="G73" i="3"/>
  <c r="H73" i="3" s="1"/>
  <c r="G70" i="3"/>
  <c r="H70" i="3" s="1"/>
  <c r="H52" i="3"/>
  <c r="G46" i="3"/>
  <c r="H46" i="3" s="1"/>
  <c r="G21" i="3"/>
  <c r="H21" i="3" s="1"/>
  <c r="G39" i="3"/>
  <c r="H39" i="3" s="1"/>
  <c r="G41" i="3"/>
  <c r="H41" i="3" s="1"/>
  <c r="G44" i="3"/>
  <c r="H44" i="3" s="1"/>
  <c r="H33" i="3"/>
  <c r="G40" i="3"/>
  <c r="H40" i="3" s="1"/>
  <c r="G27" i="3"/>
  <c r="H27" i="3" s="1"/>
  <c r="G29" i="3"/>
  <c r="H29" i="3" s="1"/>
  <c r="G43" i="3"/>
  <c r="H43" i="3" s="1"/>
  <c r="G45" i="3"/>
  <c r="H45" i="3" s="1"/>
  <c r="G50" i="3"/>
  <c r="F65" i="5" l="1"/>
  <c r="H24" i="3"/>
  <c r="H50" i="3"/>
  <c r="G51" i="3"/>
  <c r="H51" i="3" s="1"/>
  <c r="H35" i="3"/>
  <c r="H85" i="3"/>
  <c r="H53" i="3" l="1"/>
  <c r="H87" i="3" s="1"/>
</calcChain>
</file>

<file path=xl/sharedStrings.xml><?xml version="1.0" encoding="utf-8"?>
<sst xmlns="http://schemas.openxmlformats.org/spreadsheetml/2006/main" count="1021" uniqueCount="694">
  <si>
    <r>
      <rPr>
        <b/>
        <sz val="12"/>
        <rFont val="Arial"/>
        <family val="2"/>
      </rPr>
      <t>Roof Extension and</t>
    </r>
  </si>
  <si>
    <r>
      <rPr>
        <b/>
        <sz val="12"/>
        <rFont val="Arial"/>
        <family val="2"/>
      </rPr>
      <t>Refurbishment of Three Flats</t>
    </r>
  </si>
  <si>
    <r>
      <rPr>
        <b/>
        <sz val="12"/>
        <rFont val="Arial"/>
        <family val="2"/>
      </rPr>
      <t>95 Malvern Road London NW6 5PU</t>
    </r>
  </si>
  <si>
    <r>
      <rPr>
        <b/>
        <sz val="9"/>
        <rFont val="Arial"/>
        <family val="2"/>
      </rPr>
      <t>Item</t>
    </r>
  </si>
  <si>
    <r>
      <rPr>
        <b/>
        <sz val="9"/>
        <rFont val="Arial"/>
        <family val="2"/>
      </rPr>
      <t>The Works Description</t>
    </r>
  </si>
  <si>
    <r>
      <rPr>
        <b/>
        <sz val="9"/>
        <rFont val="Arial"/>
        <family val="2"/>
      </rPr>
      <t>SECTION THREE – SCHEDULE OF WORKS</t>
    </r>
  </si>
  <si>
    <r>
      <rPr>
        <b/>
        <i/>
        <sz val="9"/>
        <rFont val="Arial"/>
        <family val="2"/>
      </rPr>
      <t>Scope of Works</t>
    </r>
  </si>
  <si>
    <r>
      <rPr>
        <sz val="9"/>
        <rFont val="Arial"/>
        <family val="2"/>
      </rPr>
      <t xml:space="preserve">The project involves internal refurbishment and roof extension of the existing property from ground to 2nd floor level.  </t>
    </r>
    <r>
      <rPr>
        <b/>
        <i/>
        <sz val="10"/>
        <rFont val="Arial"/>
        <family val="2"/>
      </rPr>
      <t xml:space="preserve">The lower ground floor is under separate ownership and excluded from the works.  </t>
    </r>
    <r>
      <rPr>
        <sz val="9"/>
        <rFont val="Arial"/>
        <family val="2"/>
      </rPr>
      <t>The contractor is to make allowance for the neighbouring properties being fully occupied during the course of the works.</t>
    </r>
  </si>
  <si>
    <r>
      <rPr>
        <b/>
        <i/>
        <sz val="9"/>
        <rFont val="Arial"/>
        <family val="2"/>
      </rPr>
      <t>General Items</t>
    </r>
  </si>
  <si>
    <r>
      <rPr>
        <sz val="9"/>
        <rFont val="Arial"/>
        <family val="2"/>
      </rPr>
      <t>This specification describes the requirements, but all the works implied thereby or necessary for the full and proper completion of the Contract is to be performed by the Contractor in the best and most suitable manner even if not particularly referred to herein.</t>
    </r>
  </si>
  <si>
    <r>
      <rPr>
        <sz val="9"/>
        <rFont val="Arial"/>
        <family val="2"/>
      </rPr>
      <t xml:space="preserve">The Contractor should note that all items of work contained within this schedule have been described in reasonable detail, but the Contractor shall consider them in conjunction with manufacturers recommendations and actual work on site and shall include in his price for </t>
    </r>
    <r>
      <rPr>
        <b/>
        <sz val="9"/>
        <rFont val="Arial"/>
        <family val="2"/>
      </rPr>
      <t xml:space="preserve">everything </t>
    </r>
    <r>
      <rPr>
        <sz val="9"/>
        <rFont val="Arial"/>
        <family val="2"/>
      </rPr>
      <t>necessary to allow him to carry out the works in the best manner, whether specifically mentioned or not.</t>
    </r>
  </si>
  <si>
    <r>
      <rPr>
        <sz val="9"/>
        <rFont val="Arial"/>
        <family val="2"/>
      </rPr>
      <t>The contractor is to ensure all areas are appropriately secured to prevent access by unauthorised persons for the duration of the contract.  The contractor shall provide and locate all welfare facilities and storage compound as required but will ensure written consent from the Local Authority and CA is obtained prior to installation on site.</t>
    </r>
  </si>
  <si>
    <r>
      <rPr>
        <sz val="9"/>
        <rFont val="Arial"/>
        <family val="2"/>
      </rPr>
      <t>The contractor will provide all materials, plant, labour and expertise necessary to facilitate the successful completion of the works.  All materials are to be as specified and used in accordance with all good codes of practice and the manufacturer’s recommendations and instructions.</t>
    </r>
  </si>
  <si>
    <r>
      <rPr>
        <b/>
        <i/>
        <sz val="9"/>
        <rFont val="Arial"/>
        <family val="2"/>
      </rPr>
      <t>Site Rules</t>
    </r>
  </si>
  <si>
    <r>
      <rPr>
        <sz val="9"/>
        <rFont val="Arial"/>
        <family val="2"/>
      </rPr>
      <t>Note: The following provisions are expressly made: -</t>
    </r>
  </si>
  <si>
    <r>
      <rPr>
        <sz val="9"/>
        <rFont val="Arial"/>
        <family val="2"/>
      </rPr>
      <t>a.     Site rules are primarily to be developed by the Contractor.  The Contractor is to ensure that all site operatives are fully aware of the site rules.</t>
    </r>
  </si>
  <si>
    <r>
      <rPr>
        <sz val="9"/>
        <rFont val="Arial"/>
        <family val="2"/>
      </rPr>
      <t>b.     Operational hours are from 0800hrs to 1730hrs Monday to Friday</t>
    </r>
  </si>
  <si>
    <r>
      <rPr>
        <sz val="9"/>
        <rFont val="Arial"/>
        <family val="2"/>
      </rPr>
      <t>c.     The Contractor is to ensure that general rubbish does not accumulate on the site and shall make arrangements for its proper disposal off-site.  Compliance with the Control of Asbestos Regulations should be ensured when disposing of any Asbestos Containing Materials.</t>
    </r>
  </si>
  <si>
    <r>
      <rPr>
        <sz val="9"/>
        <rFont val="Arial"/>
        <family val="2"/>
      </rPr>
      <t>d.     The Contractor should take all necessary precautions to prevent nuisance from noise, smoke, dust, rubbish and any other causes</t>
    </r>
  </si>
  <si>
    <r>
      <rPr>
        <sz val="9"/>
        <rFont val="Arial"/>
        <family val="2"/>
      </rPr>
      <t>e.     All Contractors employees must be signed in and out on a daily basis as part of the Contract requirements.</t>
    </r>
  </si>
  <si>
    <r>
      <rPr>
        <sz val="9"/>
        <rFont val="Arial"/>
        <family val="2"/>
      </rPr>
      <t>f.     Radios, tape players and CD players will not be permitted on site without the express permission of the CA.</t>
    </r>
  </si>
  <si>
    <r>
      <rPr>
        <sz val="9"/>
        <rFont val="Arial"/>
        <family val="2"/>
      </rPr>
      <t>g.     Smoking will not be permitted on site.</t>
    </r>
  </si>
  <si>
    <r>
      <rPr>
        <sz val="9"/>
        <rFont val="Arial"/>
        <family val="2"/>
      </rPr>
      <t>h.     Bonfires or burning of materials and rubbish will not be permitted</t>
    </r>
  </si>
  <si>
    <r>
      <rPr>
        <sz val="9"/>
        <rFont val="Arial"/>
        <family val="2"/>
      </rPr>
      <t>i.     At no point are materials to be stored on neighbouring properties or unlicensed areas.</t>
    </r>
  </si>
  <si>
    <r>
      <rPr>
        <sz val="9"/>
        <rFont val="Arial"/>
        <family val="2"/>
      </rPr>
      <t>The Contractor is to protect against damage of all features and structures including neighbouring buildings, fences, footpaths, trees etc. The contractor is responsible for making good any damage caused on completion.</t>
    </r>
  </si>
  <si>
    <r>
      <rPr>
        <b/>
        <i/>
        <sz val="9"/>
        <rFont val="Arial"/>
        <family val="2"/>
      </rPr>
      <t>Temporary Services</t>
    </r>
  </si>
  <si>
    <r>
      <rPr>
        <sz val="9"/>
        <rFont val="Arial"/>
        <family val="2"/>
      </rPr>
      <t>The Contractor may use the electrical and water supplies currently available on site during the Contract.</t>
    </r>
  </si>
  <si>
    <r>
      <rPr>
        <sz val="9"/>
        <rFont val="Arial"/>
        <family val="2"/>
      </rPr>
      <t>The Contractor must indemnify the Employer against damage and misuse of the power and water supplies.</t>
    </r>
  </si>
  <si>
    <r>
      <rPr>
        <b/>
        <i/>
        <sz val="9"/>
        <rFont val="Arial"/>
        <family val="2"/>
      </rPr>
      <t>Person in Charge</t>
    </r>
  </si>
  <si>
    <r>
      <rPr>
        <sz val="9"/>
        <rFont val="Arial"/>
        <family val="2"/>
      </rPr>
      <t>The contractor is to have a designated site foreman in charge on site to act as a point of contact for all site visitors throughout the project.  The person in charge shall not be changed without the permission of the CA, such consent will not to be unreasonably withheld.</t>
    </r>
  </si>
  <si>
    <r>
      <rPr>
        <b/>
        <i/>
        <sz val="9"/>
        <rFont val="Arial"/>
        <family val="2"/>
      </rPr>
      <t>Health &amp; Safety</t>
    </r>
  </si>
  <si>
    <r>
      <rPr>
        <sz val="9"/>
        <rFont val="Arial"/>
        <family val="2"/>
      </rPr>
      <t>The Contractor will also be responsible for all aspects of health and safety on the site and the immediate surrounding areas.</t>
    </r>
  </si>
  <si>
    <r>
      <rPr>
        <sz val="9"/>
        <rFont val="Arial"/>
        <family val="2"/>
      </rPr>
      <t>The Contractor shall take all necessary precautions to ensure that the works are carried out in a safe manner in accordance with their obligations under the Health and Safety at Work Act 1974 and any subsequent Regulations and Rules enacted under this Act.</t>
    </r>
  </si>
  <si>
    <r>
      <rPr>
        <sz val="9"/>
        <rFont val="Arial"/>
        <family val="2"/>
      </rPr>
      <t>The Contractor shall take all necessary steps to secure the site, or plant, machinery and tools against misuse by unauthorised persons particularly out of working hours.</t>
    </r>
  </si>
  <si>
    <r>
      <rPr>
        <sz val="9"/>
        <rFont val="Arial"/>
        <family val="2"/>
      </rPr>
      <t>The Contractor is to check the fire evacuation procedures to the existing site/buildings and ensure all fire escape routes are clear at all times.</t>
    </r>
  </si>
  <si>
    <r>
      <rPr>
        <sz val="9"/>
        <rFont val="Arial"/>
        <family val="2"/>
      </rPr>
      <t>The Contractor is to allow for the provision of all necessary safety equipment to comply with all relevant Health and Safety Regulations.  Correct PPE is to be worn at all times and operatives found not wearing such equipment will be asked to leave site by the Contract Administrator.</t>
    </r>
  </si>
  <si>
    <r>
      <rPr>
        <sz val="9"/>
        <rFont val="Arial"/>
        <family val="2"/>
      </rPr>
      <t>The contractor shall at all times apply the general principles embodied in the Current Construction (Design &amp; Management) Regulations 2015.</t>
    </r>
  </si>
  <si>
    <r>
      <rPr>
        <sz val="9"/>
        <rFont val="Arial"/>
        <family val="2"/>
      </rPr>
      <t>The works will be notifiable and the contractor shall allow for compliance with the Pre-Construction Information Pack and provision of information necessary for the Construction Phase Health and Safety plan. The contractor shall also allow for providing all information necessary and supplying this to the Principal Designer for inclusion in the file.  Allow for keeping a daily site diary and weekly photographs.</t>
    </r>
  </si>
  <si>
    <r>
      <rPr>
        <sz val="9"/>
        <rFont val="Arial"/>
        <family val="2"/>
      </rPr>
      <t>The contractor should also report any observed defects or otherwise in the construction and services of the sites that may constitute a hazard.</t>
    </r>
  </si>
  <si>
    <r>
      <rPr>
        <sz val="9"/>
        <rFont val="Arial"/>
        <family val="2"/>
      </rPr>
      <t>Users of special substances should also be aware of and apply the advice contained in COSHH notes.</t>
    </r>
  </si>
  <si>
    <r>
      <rPr>
        <b/>
        <i/>
        <sz val="9"/>
        <rFont val="Arial"/>
        <family val="2"/>
      </rPr>
      <t>Storage</t>
    </r>
  </si>
  <si>
    <r>
      <rPr>
        <sz val="9"/>
        <rFont val="Arial"/>
        <family val="2"/>
      </rPr>
      <t>No liability will be accepted for loss or damage to any materials or equipment stored on site.  The exact location of site storage and welfare facilities provided by the contractor is to be agreed at the pre-contract meeting.</t>
    </r>
  </si>
  <si>
    <r>
      <rPr>
        <b/>
        <i/>
        <sz val="9"/>
        <rFont val="Arial"/>
        <family val="2"/>
      </rPr>
      <t>Access</t>
    </r>
  </si>
  <si>
    <r>
      <rPr>
        <sz val="9"/>
        <rFont val="Arial"/>
        <family val="2"/>
      </rPr>
      <t>Safe access and protection must be afforded at all times by way of scaffolding or otherwise in accordance with all relevant health &amp; safety legislation.</t>
    </r>
  </si>
  <si>
    <r>
      <rPr>
        <sz val="9"/>
        <rFont val="Arial"/>
        <family val="2"/>
      </rPr>
      <t>The contractor may erect scaffold, temporary towers, ladders, hoists, cranes, protective hoardings, clear sheeting, handrails, etc. to form all necessary working platforms that are required to ensure that all works can be carried out in a safe and workmanlike manner and in accordance with the work at height regulations 2005.  The contractor shall allow for compliance with all Scaffolding Regulations, including local authority licences, agreement with neighbours and providing a fully boarded and protected scaffold when erected. The scaffold is to be arranged so the public and occupiers of the property can pass along the pavement and into entrances at ground floor level without restriction and that all access and egress points are maintained and that the fire escape routes are kept clear.  Protection to the scaffold shall include all necessary boards and fans to protect all such routes and access ways from any falling materials.  Monoflex sheeting is to be fitted to all external elevations of the scaffold.</t>
    </r>
  </si>
  <si>
    <r>
      <rPr>
        <sz val="9"/>
        <rFont val="Arial"/>
        <family val="2"/>
      </rPr>
      <t>At ground floor level allow for painting all standards white and providing illumination in the hours of darkness in accordance with the Local Authorities recommendations.  Include for all necessary spreader boards at the feet of all standards.  Confirm with the CA instructions in case of bearing scaffold onto areas of the building above ground floor level.  The contractor is to allow for all necessary handrails, perimeter lighting and also plant, tools, tackle and other equipment to comply with statutory recommendations and local authority regulations.  Allow for providing all necessary ladders, safety, and security to access all working areas.  Out of hours and during public  holidays and other periods when scaffold is not in use, including at night and at weekends, the contractor shall remove the bottom ladders and secure to prevent unauthorised access.</t>
    </r>
  </si>
  <si>
    <r>
      <rPr>
        <sz val="9"/>
        <rFont val="Arial"/>
        <family val="2"/>
      </rPr>
      <t>Contractor to procure any specialist engineering for scaffold at the contractors cost.</t>
    </r>
  </si>
  <si>
    <r>
      <rPr>
        <sz val="9"/>
        <rFont val="Arial"/>
        <family val="2"/>
      </rPr>
      <t xml:space="preserve">The contractor shall include for installing an intruder alarm system to the bottom lift of the scaffolding so that it is fully protected when the scaffold is not being worked upon.  Allow for installing floodlights to be linked to an infra- red intruder alarm system providing 24 hour monitoring linked to an alarm panel.  The alarm must be allowed for detecting out of hours unauthorised access to all zones of the scaffold.  The system must be either Permanex or UBX or other similar approved.  The contractor shall allow for making the alarm as false alarm free as possible.  The alarm will be installed and working once the first lift of scaffolding is erected and even before the lift is boarded  or completed, and will not be removed until the bottom lift is to be removed.
</t>
    </r>
    <r>
      <rPr>
        <sz val="9"/>
        <rFont val="Arial"/>
        <family val="2"/>
      </rPr>
      <t>The contractor shall allow for all necessary alterations to the alarm system</t>
    </r>
  </si>
  <si>
    <r>
      <rPr>
        <sz val="9"/>
        <rFont val="Arial"/>
        <family val="2"/>
      </rPr>
      <t>The contractor is responsible for arranging and payment of all scaffold licences and ensuring that they are in place before works commence.  All licences to last the entire duration of the contract.</t>
    </r>
  </si>
  <si>
    <r>
      <rPr>
        <sz val="9"/>
        <rFont val="Arial"/>
        <family val="2"/>
      </rPr>
      <t>The contractor is to arrange and pay for any necessary road/ pavement closures and obtain the licences and provide them to the C.A in the event of a request.</t>
    </r>
  </si>
  <si>
    <r>
      <rPr>
        <sz val="9"/>
        <rFont val="Arial"/>
        <family val="2"/>
      </rPr>
      <t>The contractor to allow to inspect all scaffolding at weekly intervals, or after inclement weather, with competent and authorised scaffolder or suitably trained supervisor, to ensure scaffold is stable and secure, for contract duration.  Certificate to be issued to the contractor that scaffolding is stable and secure and to be sent to CA on day of issue.</t>
    </r>
  </si>
  <si>
    <r>
      <rPr>
        <sz val="9"/>
        <rFont val="Arial"/>
        <family val="2"/>
      </rPr>
      <t>All scaffold fixing points to the building must be made good following completion of the work to the complete satisfaction of the CA.</t>
    </r>
  </si>
  <si>
    <r>
      <rPr>
        <b/>
        <i/>
        <sz val="9"/>
        <rFont val="Arial"/>
        <family val="2"/>
      </rPr>
      <t>Cleaning</t>
    </r>
  </si>
  <si>
    <r>
      <rPr>
        <sz val="9"/>
        <rFont val="Arial"/>
        <family val="2"/>
      </rPr>
      <t>On a daily bases, contractor to ensure that all areas of the site, pavement and road are kept free from dirt and debris and cleaned at least once a day.</t>
    </r>
  </si>
  <si>
    <r>
      <rPr>
        <sz val="9"/>
        <rFont val="Arial"/>
        <family val="2"/>
      </rPr>
      <t>On completion of the works, clean all areas complete leaving clean, tidy and in full working order.  Remove all dirt, debris and splashes etc. from all surfaces leaving the area entirely fit for use and to the satisfaction of the CA.</t>
    </r>
  </si>
  <si>
    <r>
      <rPr>
        <b/>
        <i/>
        <sz val="9"/>
        <rFont val="Arial"/>
        <family val="2"/>
      </rPr>
      <t>Waste and Debris</t>
    </r>
  </si>
  <si>
    <r>
      <rPr>
        <sz val="9"/>
        <rFont val="Arial"/>
        <family val="2"/>
      </rPr>
      <t xml:space="preserve">The contractor shall allow to remove all rubbish and debris and other
</t>
    </r>
    <r>
      <rPr>
        <sz val="9"/>
        <rFont val="Arial"/>
        <family val="2"/>
      </rPr>
      <t>arising’s from site as and when necessary and dispose in accordance with any relevant legislation.</t>
    </r>
  </si>
  <si>
    <r>
      <rPr>
        <sz val="9"/>
        <rFont val="Arial"/>
        <family val="2"/>
      </rPr>
      <t>Provide all skips, licences and waste facilities as required for the removal of all waste throughout the project.  Skips are to be the responsibility of the contractor.</t>
    </r>
  </si>
  <si>
    <r>
      <rPr>
        <b/>
        <i/>
        <sz val="9"/>
        <rFont val="Arial"/>
        <family val="2"/>
      </rPr>
      <t>Pricing</t>
    </r>
  </si>
  <si>
    <r>
      <rPr>
        <sz val="9"/>
        <rFont val="Arial"/>
        <family val="2"/>
      </rPr>
      <t>Every item in this specification is to be included and indicating a price for that item.  Any item not priced will be considered as being included within the tender.  It is strongly recommended that the contractor inspects site prior to submitting costs.</t>
    </r>
  </si>
  <si>
    <r>
      <rPr>
        <b/>
        <i/>
        <sz val="9"/>
        <rFont val="Arial"/>
        <family val="2"/>
      </rPr>
      <t>Samples</t>
    </r>
  </si>
  <si>
    <r>
      <rPr>
        <sz val="9"/>
        <rFont val="Arial"/>
        <family val="2"/>
      </rPr>
      <t xml:space="preserve">The contractor is to provide samples of all items as requested in the
</t>
    </r>
    <r>
      <rPr>
        <sz val="9"/>
        <rFont val="Arial"/>
        <family val="2"/>
      </rPr>
      <t>Schedule for approval by the Contract Administrator.</t>
    </r>
  </si>
  <si>
    <r>
      <rPr>
        <b/>
        <i/>
        <sz val="9"/>
        <rFont val="Arial"/>
        <family val="2"/>
      </rPr>
      <t>Programme</t>
    </r>
  </si>
  <si>
    <r>
      <rPr>
        <sz val="9"/>
        <rFont val="Arial"/>
        <family val="2"/>
      </rPr>
      <t>The contractor shall provide a programme of works to the CA prior to commencement of the project showing all stages and timescales for each work item.  The contractors tender price is to remain open and valid for that period of time should he be appointed as the successful Principal Contractor. Allow for a 12 months defect liability period.</t>
    </r>
  </si>
  <si>
    <r>
      <rPr>
        <b/>
        <i/>
        <sz val="9"/>
        <rFont val="Arial"/>
        <family val="2"/>
      </rPr>
      <t>Welfare/ site accommodation</t>
    </r>
  </si>
  <si>
    <r>
      <rPr>
        <sz val="9"/>
        <rFont val="Arial"/>
        <family val="2"/>
      </rPr>
      <t xml:space="preserve">The contractor is to provide site accommodation as required in order to undertake the works in a responsible manner in accordance with the Health
</t>
    </r>
    <r>
      <rPr>
        <sz val="9"/>
        <rFont val="Arial"/>
        <family val="2"/>
      </rPr>
      <t>&amp; Safety Regulations.</t>
    </r>
  </si>
  <si>
    <r>
      <rPr>
        <b/>
        <sz val="9"/>
        <rFont val="Arial"/>
        <family val="2"/>
      </rPr>
      <t>Total Carried to Collection Sheet</t>
    </r>
  </si>
  <si>
    <r>
      <rPr>
        <b/>
        <sz val="9"/>
        <rFont val="Arial"/>
        <family val="2"/>
      </rPr>
      <t>Enabling works</t>
    </r>
  </si>
  <si>
    <r>
      <rPr>
        <b/>
        <i/>
        <sz val="9"/>
        <rFont val="Arial"/>
        <family val="2"/>
      </rPr>
      <t>Asbestos</t>
    </r>
  </si>
  <si>
    <r>
      <rPr>
        <sz val="9"/>
        <rFont val="Arial"/>
        <family val="2"/>
      </rPr>
      <t>Contractor to allow for undertaking a Refurbishment and Demolition Asbestos Survey prior to the works taking place.  Once the results are obtained, a copy is to be sent to the C.A immediately.</t>
    </r>
  </si>
  <si>
    <r>
      <rPr>
        <b/>
        <sz val="9"/>
        <rFont val="Arial"/>
        <family val="2"/>
      </rPr>
      <t>Site set up</t>
    </r>
  </si>
  <si>
    <r>
      <rPr>
        <sz val="9"/>
        <rFont val="Arial"/>
        <family val="2"/>
      </rPr>
      <t>Carefully disconnect electric, gas, water and waste supplies as necessary leaving all safe to facilitate the works.</t>
    </r>
  </si>
  <si>
    <r>
      <rPr>
        <sz val="9"/>
        <rFont val="Arial"/>
        <family val="2"/>
      </rPr>
      <t>Provide temporary electrical supply as necessary to facilitate the works.</t>
    </r>
  </si>
  <si>
    <r>
      <rPr>
        <b/>
        <sz val="9"/>
        <rFont val="Arial"/>
        <family val="2"/>
      </rPr>
      <t>ROOF EXTENSION</t>
    </r>
  </si>
  <si>
    <r>
      <rPr>
        <b/>
        <i/>
        <sz val="9"/>
        <rFont val="Arial"/>
        <family val="2"/>
      </rPr>
      <t>Strip out/ demolition</t>
    </r>
  </si>
  <si>
    <r>
      <rPr>
        <sz val="9"/>
        <rFont val="Arial"/>
        <family val="2"/>
      </rPr>
      <t>Contractor to carefully remove the existing roof rafters, ridges, roof coverings where shown on drawings including, but not limited to felt, sarking, underlay, slates/ tiles/ asbestos cement sheets, battens, insulation, box gutters, leadwork, flashing, and dispose from site immediately.</t>
    </r>
  </si>
  <si>
    <r>
      <rPr>
        <sz val="9"/>
        <rFont val="Arial"/>
        <family val="2"/>
      </rPr>
      <t>Allow to remove 2nd floor structure and entirety including joists, noggins, floor boards and fixing etc. and dispose off site.</t>
    </r>
  </si>
  <si>
    <r>
      <rPr>
        <sz val="9"/>
        <rFont val="Arial"/>
        <family val="2"/>
      </rPr>
      <t>Allow to complete work in stages and agree with C.A onsite.</t>
    </r>
  </si>
  <si>
    <r>
      <rPr>
        <b/>
        <i/>
        <sz val="9"/>
        <rFont val="Arial"/>
        <family val="2"/>
      </rPr>
      <t>Party Wall</t>
    </r>
  </si>
  <si>
    <r>
      <rPr>
        <sz val="9"/>
        <rFont val="Arial"/>
        <family val="2"/>
      </rPr>
      <t>Where shown on drawings, contractor to provide all materials, labour and expertise to extend the party wall in reclaimed London stock brickwork in a Flemish bond (Header/ Stretcher Bond) and bonded with sand and cement mortar to form new walls as shown on contract drawings.   All mortar to be Class 4 mortar to BS 5628-3:2001.</t>
    </r>
  </si>
  <si>
    <r>
      <rPr>
        <sz val="9"/>
        <rFont val="Arial"/>
        <family val="2"/>
      </rPr>
      <t>Brick colour to match sound existing and samples of bricks to be provided to CA for approval prior to installation.  Point brickwork with matching joints to that of the existing building.</t>
    </r>
  </si>
  <si>
    <r>
      <rPr>
        <sz val="9"/>
        <rFont val="Arial"/>
        <family val="2"/>
      </rPr>
      <t>For supply of bricks allow Prime Cost sum of £1500 per 1000 for supply only.</t>
    </r>
  </si>
  <si>
    <r>
      <rPr>
        <sz val="9"/>
        <rFont val="Arial"/>
        <family val="2"/>
      </rPr>
      <t>Allow to form appropriate movement joints within walls where new walls exceed 6.0m in length.  Exact locations to be confirmed onsite and at returns where possible.</t>
    </r>
  </si>
  <si>
    <r>
      <rPr>
        <sz val="9"/>
        <rFont val="Arial"/>
        <family val="2"/>
      </rPr>
      <t>At roof level, provide all materials, labour and expertise to supply and fix 30mm x 5mm galvanised metal straps at maximum 2m centres fixed back to a minimum of 3 joists and built in to brickwork.</t>
    </r>
  </si>
  <si>
    <r>
      <rPr>
        <sz val="9"/>
        <rFont val="Arial"/>
        <family val="2"/>
      </rPr>
      <t>Prepare the new parapet wall above new roof covering, dubbing out as necessary to receive new contractor supplied and installed DPC.  Thereafter, contractor to supply and install new twice struck concrete coping stone with drip grooves, bedded on sand cement mortar and thereafter point all joints with polysulphide mastic leaving all sound on completion.</t>
    </r>
  </si>
  <si>
    <r>
      <rPr>
        <b/>
        <i/>
        <sz val="9"/>
        <rFont val="Arial"/>
        <family val="2"/>
      </rPr>
      <t>New 2nd floor structure</t>
    </r>
  </si>
  <si>
    <r>
      <rPr>
        <sz val="9"/>
        <rFont val="Arial"/>
        <family val="2"/>
      </rPr>
      <t>In location shown on drawings, contractor to reduce the 2nd floor structure in height to provide sufficient head room in 2nd floor space and provide all materials, labour and expertise to supply and fix 50 x 220 x C24 soft wood floor joists at 400 centres with timber solid noggins at supports at 1.8 m centres in locations shown on general arrangement drawings.</t>
    </r>
  </si>
  <si>
    <r>
      <rPr>
        <sz val="9"/>
        <rFont val="Arial"/>
        <family val="2"/>
      </rPr>
      <t>Floor joists to be supported on Simpson Strong Tie, or similar approved, galvanised steel joist hangers or built into external walls.</t>
    </r>
  </si>
  <si>
    <r>
      <rPr>
        <sz val="9"/>
        <rFont val="Arial"/>
        <family val="2"/>
      </rPr>
      <t>Leave ready to receive floating floor and ceiling treatment as detailed below.</t>
    </r>
  </si>
  <si>
    <r>
      <rPr>
        <b/>
        <i/>
        <sz val="9"/>
        <rFont val="Arial"/>
        <family val="2"/>
      </rPr>
      <t>New rafters</t>
    </r>
  </si>
  <si>
    <r>
      <rPr>
        <sz val="9"/>
        <rFont val="Arial"/>
        <family val="2"/>
      </rPr>
      <t>Where walls plates have been removed, Contractor to supply and install 50 x 175 x C24 tanalised softwood wall plate to the face of the new external brickwork wall as illustrated on drawings. Fix wall plate with resin anchored M12 140mm bolts at staggered 300mm centres.</t>
    </r>
  </si>
  <si>
    <r>
      <rPr>
        <sz val="9"/>
        <rFont val="Arial"/>
        <family val="2"/>
      </rPr>
      <t>Where shown on drawings, contractor to supply and install 50 x 125 C16 tanalised rafters at 400mm centres with birdsmouth seatings at supports. Allow to supply and fix solid strutting at mid span.  Make allowance for Dormer window and Velux room lights with double trimmers and rafters around.</t>
    </r>
  </si>
  <si>
    <r>
      <rPr>
        <b/>
        <i/>
        <sz val="9"/>
        <rFont val="Arial"/>
        <family val="2"/>
      </rPr>
      <t>Insulation</t>
    </r>
  </si>
  <si>
    <r>
      <rPr>
        <sz val="9"/>
        <rFont val="Arial"/>
        <family val="2"/>
      </rPr>
      <t>Contractor to supply and install 100mm Celotex foil faced PIR thermal insulation board between rafters, supported on clips to maintain a 25mm air gap above the breather membrane.  All boards to be butt fixed and with no gaps.</t>
    </r>
  </si>
  <si>
    <r>
      <rPr>
        <sz val="9"/>
        <rFont val="Arial"/>
        <family val="2"/>
      </rPr>
      <t>Contractor to supply and install Celotex 50mm insulated plasterboard to the underside of the rafters.  Leave ready for plaster skim coat and decoration.</t>
    </r>
  </si>
  <si>
    <r>
      <rPr>
        <b/>
        <i/>
        <sz val="9"/>
        <rFont val="Arial"/>
        <family val="2"/>
      </rPr>
      <t>Breather membrane</t>
    </r>
  </si>
  <si>
    <r>
      <rPr>
        <b/>
        <i/>
        <sz val="9"/>
        <rFont val="Arial"/>
        <family val="2"/>
      </rPr>
      <t>Ventilation</t>
    </r>
  </si>
  <si>
    <r>
      <rPr>
        <sz val="9"/>
        <rFont val="Arial"/>
        <family val="2"/>
      </rPr>
      <t xml:space="preserve">Provide and fit a trim lock or similar eaves ventilation system to incorporate eave bird comb filler fitted to eaves in accordance with manufacturer's
</t>
    </r>
    <r>
      <rPr>
        <sz val="9"/>
        <rFont val="Arial"/>
        <family val="2"/>
      </rPr>
      <t>recommendations.</t>
    </r>
  </si>
  <si>
    <r>
      <rPr>
        <b/>
        <i/>
        <sz val="9"/>
        <rFont val="Arial"/>
        <family val="2"/>
      </rPr>
      <t>Slates covering and lead work</t>
    </r>
  </si>
  <si>
    <r>
      <rPr>
        <sz val="9"/>
        <rFont val="Arial"/>
        <family val="2"/>
      </rPr>
      <t>Supply and install 25 x 38mm tanalised softwood battens fixed to rafters with 65mm round wire nail at gauge to suit tiles.</t>
    </r>
  </si>
  <si>
    <r>
      <rPr>
        <sz val="9"/>
        <rFont val="Arial"/>
        <family val="2"/>
      </rPr>
      <t>Contractor to provide C.A Marley Eternit Rivendale Fibre Cement Slateslate samples for approval.</t>
    </r>
  </si>
  <si>
    <r>
      <rPr>
        <sz val="9"/>
        <rFont val="Arial"/>
        <family val="2"/>
      </rPr>
      <t>Supply and install double lapped Eternit Rivendale Fibre Cement Slates throughout roof in accordance with manufacturers recommendations.  Exact lap and size of tile to be agreed onsite.  Include for continuous eaves ventilation.</t>
    </r>
  </si>
  <si>
    <r>
      <rPr>
        <sz val="9"/>
        <rFont val="Arial"/>
        <family val="2"/>
      </rPr>
      <t>Allow for roof lights as detailed above.</t>
    </r>
  </si>
  <si>
    <r>
      <rPr>
        <sz val="9"/>
        <rFont val="Arial"/>
        <family val="2"/>
      </rPr>
      <t>Provide all materials, labour and expertise and carefully cut chases to external walls as necessary and thereafter introduce new code 4 lead cover flashing at junction of parapet walls and new roof covering, thoroughly lead wedged. All works to be in accordance with best practice and the Lead Associations Guidelines.  Stepped flashing to be pointed in same mortar as the remainder of the property.</t>
    </r>
  </si>
  <si>
    <r>
      <rPr>
        <sz val="9"/>
        <rFont val="Arial"/>
        <family val="2"/>
      </rPr>
      <t>Provide all materials, labour and expertise to install lead soakers, lead cover flashings, lead valleys and gutters and the like necessary to waterproof the roof and junctions and in accordance with best practice and the Lead Sheet Association recommendations.</t>
    </r>
  </si>
  <si>
    <r>
      <rPr>
        <sz val="9"/>
        <rFont val="Arial"/>
        <family val="2"/>
      </rPr>
      <t>All leadwork to be installed by current member of the Lead Contractors Association under their 25 year Guarantee Scheme and all work to be complete in accordance with Lead Sheet Association best practice guide lines.</t>
    </r>
  </si>
  <si>
    <r>
      <rPr>
        <b/>
        <i/>
        <sz val="9"/>
        <rFont val="Arial"/>
        <family val="2"/>
      </rPr>
      <t>Eaves</t>
    </r>
  </si>
  <si>
    <r>
      <rPr>
        <sz val="9"/>
        <rFont val="Arial"/>
        <family val="2"/>
      </rPr>
      <t>Provide all materials labour and expertise and install white UPVC  fascia and soffit board as detailed on drawings to all elevations, leaving sound on completion.</t>
    </r>
  </si>
  <si>
    <r>
      <rPr>
        <b/>
        <i/>
        <sz val="9"/>
        <rFont val="Arial"/>
        <family val="2"/>
      </rPr>
      <t>Roof pivot Windows (ps)</t>
    </r>
  </si>
  <si>
    <r>
      <rPr>
        <b/>
        <i/>
        <sz val="9"/>
        <rFont val="Arial"/>
        <family val="2"/>
      </rPr>
      <t>Dormer window</t>
    </r>
  </si>
  <si>
    <r>
      <rPr>
        <sz val="9"/>
        <rFont val="Arial"/>
        <family val="2"/>
      </rPr>
      <t>Contractor to provide all materials, labour and expertise to install dormer windows as per general arrangement drawings.</t>
    </r>
  </si>
  <si>
    <r>
      <rPr>
        <sz val="9"/>
        <rFont val="Arial"/>
        <family val="2"/>
      </rPr>
      <t>Allow for forming the necessary openings within the roof structure and supplying and installing 50 x 100 x C16 timber trimmers, joists, King and  Jack studs to form window frames and WBP plywood to form flat roof and cheeks. Join Dormer Rafters to Dormer supports via 2No. M16 Bolted timber connectors and flat plate washers.  dormer Rafter support to ridge beam via 2No. M12 Bolts per face.</t>
    </r>
  </si>
  <si>
    <r>
      <rPr>
        <sz val="9"/>
        <rFont val="Arial"/>
        <family val="2"/>
      </rPr>
      <t>Contractor to supply and install 100mm Celotex foil faced PIR thermal insulation board between joists/ rafters and studwork, supported on clips to maintain a 25mm air gap above the breather membrane.  All boards to be butt fixed and with no gaps.</t>
    </r>
  </si>
  <si>
    <r>
      <rPr>
        <sz val="9"/>
        <rFont val="Arial"/>
        <family val="2"/>
      </rPr>
      <t>Thereafter contractor to supply and install Celotex 35mm insulated plasterboard to the inside face of the joists/ rafters.  Leave ready for plaster skim coat and decoration.</t>
    </r>
  </si>
  <si>
    <r>
      <rPr>
        <sz val="9"/>
        <rFont val="Arial"/>
        <family val="2"/>
      </rPr>
      <t>For the roof, Contractor to supply and install C24 Grade structural timber firings to roof to provide a minimum of 1:80 fall to comply with part H of Building Regulations.</t>
    </r>
  </si>
  <si>
    <r>
      <rPr>
        <sz val="9"/>
        <rFont val="Arial"/>
        <family val="2"/>
      </rPr>
      <t>Contractor to supply and install 18mm WBP external ply roof deck to entire Dormer flat roof.  Deck to be double nailed to each joist and laid with staggered joints.</t>
    </r>
  </si>
  <si>
    <r>
      <rPr>
        <sz val="9"/>
        <rFont val="Arial"/>
        <family val="2"/>
      </rPr>
      <t>Provide all materials, labour and expertise and supply and install new roof covering to Dormer flat roof together with thermal insulation. Include for nailed base layer, vapour barrier, 110mm thick PIR underlay insulation under layer, base layer and cap sheet with grey mineral high performance felt finish providing minimum 15 year insurance back manufacturers Guarantee on completion.  Include for UPVC Fascia and ensure that new felt covering has welted drips over new facia.</t>
    </r>
  </si>
  <si>
    <r>
      <rPr>
        <sz val="9"/>
        <rFont val="Arial"/>
        <family val="2"/>
      </rPr>
      <t>To the cheeks of the Dormer window, supply and install 25 x 38mm tanalised softwood battens  with 65mm round wire nail at gauge to suit slates.</t>
    </r>
  </si>
  <si>
    <r>
      <rPr>
        <sz val="9"/>
        <rFont val="Arial"/>
        <family val="2"/>
      </rPr>
      <t xml:space="preserve">Supply and install double lapped Eternit Rivendale Fibre Cement Slates to Dormer Cheeks in accordance with manufacturers recommendations.
</t>
    </r>
    <r>
      <rPr>
        <sz val="9"/>
        <rFont val="Arial"/>
        <family val="2"/>
      </rPr>
      <t>Exact lap and size of tile to be agreed onsite.  Include for continuous eaves ventilation.  Supply and install new lead flashing and soakers to roof junctions in accordance with Lead Sheet Association Guidelines.</t>
    </r>
  </si>
  <si>
    <r>
      <rPr>
        <b/>
        <i/>
        <sz val="9"/>
        <rFont val="Arial"/>
        <family val="2"/>
      </rPr>
      <t>Flat roof construction (above new 2nd floor)</t>
    </r>
  </si>
  <si>
    <r>
      <rPr>
        <sz val="9"/>
        <rFont val="Arial"/>
        <family val="2"/>
      </rPr>
      <t>Contractor to supply and install 50 x 220 x C24 tanalised softwood wall plate wall plate shot blasted into roof steels and fixed to ridges via 5 x 35 x 1000 Galvanized Straps fully nailed.</t>
    </r>
  </si>
  <si>
    <r>
      <rPr>
        <sz val="9"/>
        <rFont val="Arial"/>
        <family val="2"/>
      </rPr>
      <t>Between wall plates, contractor to supply and install 50 x 220 C24 tanalised joists at centres birdsmouth seatings at supports.  Allow to supply and fix solid strutting at mid span. Include for 47 x 125 C24 Ceiling Collars at 400mm Centres as shown on drawings.</t>
    </r>
  </si>
  <si>
    <r>
      <rPr>
        <sz val="9"/>
        <rFont val="Arial"/>
        <family val="2"/>
      </rPr>
      <t>Contractor to supply and install C24 Grade structural timber firings to roof to provide a minimum of 1:80 fall to comply with part H of Building Regulations.</t>
    </r>
  </si>
  <si>
    <r>
      <rPr>
        <sz val="9"/>
        <rFont val="Arial"/>
        <family val="2"/>
      </rPr>
      <t>Contractor to supply and install 18mm WBP external ply roof deck to entire flat roof.  Deck to be double nailed to each joist and laid with staggered joints.</t>
    </r>
  </si>
  <si>
    <r>
      <rPr>
        <sz val="9"/>
        <rFont val="Arial"/>
        <family val="2"/>
      </rPr>
      <t>Provide all materials, labour and expertise and supply and install new roof covering to flat roof together with thermal insulation. Include for nailed base layer, vapour barrier, 110mm thick PIR underlay insulation under layer, base layer and cap sheet with grey mineral high performance felt finish providing minimum 15 year insurance back manufacturers Guarantee on completion. Include for all necessary upstands and forming collars as necessary around penetrating flues and pipework etc. and ensure that new chute is watertight and rainwater freely flows in to new rainwater pipework.</t>
    </r>
  </si>
  <si>
    <r>
      <rPr>
        <sz val="9"/>
        <rFont val="Arial"/>
        <family val="2"/>
      </rPr>
      <t>Provide all materials labour and expertise, cut chases as necessary and thereafter introduce new lead cover flashings to weather upstand details to entire perimeter.  Allow to point in polysulphide mastic in accordance with manufacturer’s recommendations and instructions, leaving all sound on completion.</t>
    </r>
  </si>
  <si>
    <r>
      <rPr>
        <b/>
        <i/>
        <sz val="9"/>
        <rFont val="Arial"/>
        <family val="2"/>
      </rPr>
      <t>Loft space</t>
    </r>
  </si>
  <si>
    <r>
      <rPr>
        <sz val="9"/>
        <rFont val="Arial"/>
        <family val="2"/>
      </rPr>
      <t>Where shown on drawings, contractor to supply and install 300mm insulation quit to roof void along with 100mm Celotex foil faced PIR thermal insulation board between timber studs.</t>
    </r>
  </si>
  <si>
    <r>
      <rPr>
        <b/>
        <i/>
        <sz val="9"/>
        <rFont val="Arial"/>
        <family val="2"/>
      </rPr>
      <t>Rainwater Goods</t>
    </r>
  </si>
  <si>
    <r>
      <rPr>
        <sz val="9"/>
        <rFont val="Arial"/>
        <family val="2"/>
      </rPr>
      <t>In locations shown on drawings, provide all materials labour and expertise and supply and fix new half round gutter, 112mm system in Black at roof level allow for all necessary brackets, running outlets, end caps and joints etc. all in accordance with manufacturer’s recommendations, leaving all sound and watertight on completion all works to be in accordance with previous specification.</t>
    </r>
  </si>
  <si>
    <r>
      <rPr>
        <sz val="9"/>
        <rFont val="Arial"/>
        <family val="2"/>
      </rPr>
      <t>Provide all materials labour and expertise and supply and fix 2 no. new rainwater downpipes, 68mm round in Black,  to connect to existing underground drainage.  Allow for all necessary brackets, joints, back inlet gullies and connecting to underground drainage all in accordance with manufacturer’s recommendations, leaving all sound and watertight on completion all works to be in accordance with previous specification.</t>
    </r>
  </si>
  <si>
    <r>
      <rPr>
        <b/>
        <i/>
        <sz val="9"/>
        <rFont val="Arial"/>
        <family val="2"/>
      </rPr>
      <t>Surface water drains - provisional</t>
    </r>
  </si>
  <si>
    <r>
      <rPr>
        <b/>
        <sz val="9"/>
        <rFont val="Arial"/>
        <family val="2"/>
      </rPr>
      <t>EXISTING ELEVATIONS</t>
    </r>
  </si>
  <si>
    <r>
      <rPr>
        <b/>
        <sz val="9"/>
        <rFont val="Arial"/>
        <family val="2"/>
      </rPr>
      <t>Cleaning brickwork</t>
    </r>
  </si>
  <si>
    <r>
      <rPr>
        <sz val="9"/>
        <rFont val="Arial"/>
        <family val="2"/>
      </rPr>
      <t>Provide all materials labour and expertise and introduce Karcher TFR 10 to all brick surfaces to all elevations complete and thereafter warm pressure wash brickwork removing all dirt and stains leaving all sound on completion in accordance with manufacturers recommendations and instructions.</t>
    </r>
  </si>
  <si>
    <r>
      <rPr>
        <b/>
        <sz val="9"/>
        <rFont val="Arial"/>
        <family val="2"/>
      </rPr>
      <t>Brickwork repairs</t>
    </r>
  </si>
  <si>
    <r>
      <rPr>
        <sz val="9"/>
        <rFont val="Arial"/>
        <family val="2"/>
      </rPr>
      <t>Contractor to supply all materials, labour and expertise to carefully rake out defective, loose and missing mortar and replace with new mortar to match sound existing in sand cement mortar mix 1:1:6 with joint colour and finish to match existing as directed by the Contract Administrator leaving all sound on completion.   Allow to repoint 25 Sq. Meters including roof areas, chimney stacks, and all elevations including behind SVP's and downpipes.</t>
    </r>
  </si>
  <si>
    <r>
      <rPr>
        <sz val="9"/>
        <rFont val="Arial"/>
        <family val="2"/>
      </rPr>
      <t>Contractor to supply all materials, labour and expertise to carefully cut out spalled and defective brickwork and replace with new brickwork to match sound existing in terms of colour, size and texture.  Bed and point with a lime mortar to match existing.   Allow to replace 50 bricks, including roof areas, chimney stacks, and all elevations including behind SVP's and downpipes.</t>
    </r>
  </si>
  <si>
    <r>
      <rPr>
        <b/>
        <sz val="9"/>
        <rFont val="Arial"/>
        <family val="2"/>
      </rPr>
      <t>Rear flat roofs</t>
    </r>
  </si>
  <si>
    <r>
      <rPr>
        <b/>
        <sz val="9"/>
        <rFont val="Arial"/>
        <family val="2"/>
      </rPr>
      <t>Windows</t>
    </r>
  </si>
  <si>
    <r>
      <rPr>
        <sz val="9"/>
        <rFont val="Arial"/>
        <family val="2"/>
      </rPr>
      <t>Allow for providing necessary protection and thereafter carefully stripping out timber double hung sash windows and boxing frames to all elevations, complete and clearing away all debris from site</t>
    </r>
  </si>
  <si>
    <r>
      <rPr>
        <sz val="9"/>
        <rFont val="Arial"/>
        <family val="2"/>
      </rPr>
      <t>Supply and install new matching double glazed timber sash windows and box frames to replicate exactly existing window appearance.  Include for sash cords and all weight and all matching ironmongery including sash locks, lifts stays and handles etc. to be supplied from Reddiseals - www.reddiseals.com (tel:0845 165 9507) or similar approved.  Ironmongery to be approved by C.A prior to ordering and installation.  Adapt boxes and reveals as required to accept double glazed sealed units within sashes, and allow for internal making good. Where necessary boxes are to protrude internally within the property and are to be completed with 6mm ply linings and architraves as required. All windows to be fitted with trickle vents.</t>
    </r>
  </si>
  <si>
    <r>
      <rPr>
        <sz val="9"/>
        <rFont val="Arial"/>
        <family val="2"/>
      </rPr>
      <t>Sizes of all openings to be checked by the Contractor on site prior to ordering.</t>
    </r>
  </si>
  <si>
    <r>
      <rPr>
        <sz val="9"/>
        <rFont val="Arial"/>
        <family val="2"/>
      </rPr>
      <t>Contractor to provide a complete window schedule to C.A for approval prior to ordering windows clearly illustrating sizes and specification.</t>
    </r>
  </si>
  <si>
    <r>
      <rPr>
        <sz val="9"/>
        <rFont val="Arial"/>
        <family val="2"/>
      </rPr>
      <t xml:space="preserve">All new sealed double glazed units to be A rated with air gap in accordance with BS5713, with low E glazing to provide maximum U value of 1.5 with safety glass.  All windows to be fitted with trickle vents and glass shall be fitted from the inside.  </t>
    </r>
    <r>
      <rPr>
        <b/>
        <i/>
        <sz val="9"/>
        <rFont val="Arial"/>
        <family val="2"/>
      </rPr>
      <t>Windows to be fitted in accordance with FENSA recommendations, and 10 year guarantee shall be provided on completion.</t>
    </r>
  </si>
  <si>
    <r>
      <rPr>
        <sz val="9"/>
        <rFont val="Arial"/>
        <family val="2"/>
      </rPr>
      <t>To all external joinery, allow for appropriate weathersealing and mastic sealant to perimeter of the opening.</t>
    </r>
  </si>
  <si>
    <r>
      <rPr>
        <sz val="9"/>
        <rFont val="Arial"/>
        <family val="2"/>
      </rPr>
      <t>Provide all materials, labour and expertise to supply and fix new bull nosed MDF window boards to all new vertical windows, leaving all sound and tidy, in accordance with previous specification.</t>
    </r>
  </si>
  <si>
    <r>
      <rPr>
        <b/>
        <i/>
        <sz val="9"/>
        <rFont val="Arial"/>
        <family val="2"/>
      </rPr>
      <t>Rear 1st floor elevation window</t>
    </r>
  </si>
  <si>
    <r>
      <rPr>
        <sz val="9"/>
        <rFont val="Arial"/>
        <family val="2"/>
      </rPr>
      <t>Where shown on drawing 190328/15, contractor to reduce the height of the rear window as detailed.  Provide appropriately sized Catnic lintel over opening, new brickwork with brick arch to match existing.</t>
    </r>
  </si>
  <si>
    <r>
      <rPr>
        <sz val="9"/>
        <rFont val="Arial"/>
        <family val="2"/>
      </rPr>
      <t>Internally, provide metal railings internally to 1100mm high with max spacing of 99mm.</t>
    </r>
  </si>
  <si>
    <r>
      <rPr>
        <b/>
        <sz val="9"/>
        <rFont val="Arial"/>
        <family val="2"/>
      </rPr>
      <t>External door</t>
    </r>
  </si>
  <si>
    <r>
      <rPr>
        <b/>
        <sz val="9"/>
        <rFont val="Arial"/>
        <family val="2"/>
      </rPr>
      <t>Landscape</t>
    </r>
  </si>
  <si>
    <r>
      <rPr>
        <b/>
        <i/>
        <sz val="9"/>
        <rFont val="Arial"/>
        <family val="2"/>
      </rPr>
      <t>Bike stores</t>
    </r>
  </si>
  <si>
    <r>
      <rPr>
        <b/>
        <sz val="9"/>
        <rFont val="Arial"/>
        <family val="2"/>
      </rPr>
      <t>External Decorations</t>
    </r>
  </si>
  <si>
    <r>
      <rPr>
        <sz val="9"/>
        <rFont val="Arial"/>
        <family val="2"/>
      </rPr>
      <t>To previously and usually painted timber surfaces allow for preparing and applying two undercoats and one full gloss coat of good quality paint to all areas.  All colours to be confirmed.</t>
    </r>
  </si>
  <si>
    <r>
      <rPr>
        <sz val="9"/>
        <rFont val="Arial"/>
        <family val="2"/>
      </rPr>
      <t>To previously and usually painted metalwork allow for rubbing down and preparing and applying one undercoat and one full gloss coat of Hamerite paint.  All colours to be confirmed.  Where areas of rust are found to existing metal surfaces allow for rubbing back and removing all friable material and applying rust inhibitor before first undercoat.</t>
    </r>
  </si>
  <si>
    <r>
      <rPr>
        <sz val="9"/>
        <rFont val="Arial"/>
        <family val="2"/>
      </rPr>
      <t>To previously and usually painted masonry surfaces allow for rubbing back existing surfaces and preparing and applying two coats good quality masonry pliolite paint to all areas.  All colours to be confirmed.</t>
    </r>
  </si>
  <si>
    <r>
      <rPr>
        <sz val="9"/>
        <rFont val="Arial"/>
        <family val="2"/>
      </rPr>
      <t>To new timber surfaces (windows) allow for primer, undercoat and one full bodied finishing coat gloss.  Colours to be agreed.</t>
    </r>
  </si>
  <si>
    <r>
      <rPr>
        <b/>
        <sz val="9"/>
        <rFont val="Arial"/>
        <family val="2"/>
      </rPr>
      <t>Cleaning</t>
    </r>
  </si>
  <si>
    <r>
      <rPr>
        <sz val="9"/>
        <rFont val="Arial"/>
        <family val="2"/>
      </rPr>
      <t>On completion of the works, contractor thoroughly polish all windows and clean all surfaces and leave clean and tidy.</t>
    </r>
  </si>
  <si>
    <r>
      <rPr>
        <b/>
        <sz val="9"/>
        <rFont val="Arial"/>
        <family val="2"/>
      </rPr>
      <t>INTERNAL REFURBISHMENT</t>
    </r>
  </si>
  <si>
    <r>
      <rPr>
        <b/>
        <sz val="9"/>
        <rFont val="Arial"/>
        <family val="2"/>
      </rPr>
      <t>Demolition/ Strip out</t>
    </r>
  </si>
  <si>
    <r>
      <rPr>
        <sz val="9"/>
        <rFont val="Arial"/>
        <family val="2"/>
      </rPr>
      <t>Provide all materials, labour and expertise and allow stripping out all existing electrical, telecom and media wiring throughout, dispose from site and make good all surfaces disturbed.  Allow to provide temporary electrical supply as necessary to facilitate the works.</t>
    </r>
  </si>
  <si>
    <r>
      <rPr>
        <sz val="9"/>
        <rFont val="Arial"/>
        <family val="2"/>
      </rPr>
      <t>Provide all materials, labour and expertise and allow stripping out all existing plumbing installations throughout, including SVP's and clear away from site making good all surfaces disturbed.    Allow to provide temporary water supply as necessary to facilitate the works.</t>
    </r>
  </si>
  <si>
    <r>
      <rPr>
        <sz val="9"/>
        <rFont val="Arial"/>
        <family val="2"/>
      </rPr>
      <t>Provide all materials, labour and expertise and disconnect all waste supplies, feeds and services as necessary and thereafter strip out kitchens complete together with all cupboards, fridges, freezers and the like and dispose of appropriately from site.</t>
    </r>
  </si>
  <si>
    <r>
      <rPr>
        <sz val="9"/>
        <rFont val="Arial"/>
        <family val="2"/>
      </rPr>
      <t>Carefully strip out all floor coverings including carpet and all skirting and architraves complete and clear away all debris from site.</t>
    </r>
  </si>
  <si>
    <r>
      <rPr>
        <sz val="9"/>
        <rFont val="Arial"/>
        <family val="2"/>
      </rPr>
      <t>Carefully strip out existing radiators and central heating installation and dispose of appropriately from site.</t>
    </r>
  </si>
  <si>
    <r>
      <rPr>
        <sz val="9"/>
        <rFont val="Arial"/>
        <family val="2"/>
      </rPr>
      <t>Carefully strip out bath and shower rooms completely together with all sanitary ware, tiling, floor coverings, radiators and the like and clear away all debris from site.</t>
    </r>
  </si>
  <si>
    <r>
      <rPr>
        <sz val="9"/>
        <rFont val="Arial"/>
        <family val="2"/>
      </rPr>
      <t>Carefully strip out doors, windows and frames where shown on drawings to facilitate the works and clear away all debris from site.</t>
    </r>
  </si>
  <si>
    <r>
      <rPr>
        <sz val="9"/>
        <rFont val="Arial"/>
        <family val="2"/>
      </rPr>
      <t>Provide all materials, labour and expertise to remove cupboards, furniture, shelves and the like and clear away from site making good all surfaces disturbed.</t>
    </r>
  </si>
  <si>
    <r>
      <rPr>
        <sz val="9"/>
        <rFont val="Arial"/>
        <family val="2"/>
      </rPr>
      <t>Provide all materials, labour and expertise to carefully remove all curtains, nets and blinds and clear away from site.</t>
    </r>
  </si>
  <si>
    <r>
      <rPr>
        <sz val="9"/>
        <rFont val="Arial"/>
        <family val="2"/>
      </rPr>
      <t>Carefully hack off tiles to walls and clear away from site.</t>
    </r>
  </si>
  <si>
    <r>
      <rPr>
        <sz val="9"/>
        <rFont val="Arial"/>
        <family val="2"/>
      </rPr>
      <t>After demolition, carefully remove all retained wall paper finishes leaving all sound on completion.</t>
    </r>
  </si>
  <si>
    <r>
      <rPr>
        <sz val="9"/>
        <rFont val="Arial"/>
        <family val="2"/>
      </rPr>
      <t>Provide all materials, labour and expertise to carefully demolish internal ceilings and dispose of debris and rubble off offsite.</t>
    </r>
  </si>
  <si>
    <r>
      <rPr>
        <sz val="9"/>
        <rFont val="Arial"/>
        <family val="2"/>
      </rPr>
      <t>Provide all materials, labour and expertise to carefully lift and dispose of all floor boards and dispose offsite.</t>
    </r>
  </si>
  <si>
    <r>
      <rPr>
        <sz val="9"/>
        <rFont val="Arial"/>
        <family val="2"/>
      </rPr>
      <t>Provide all materials, labour and expertise to carefully demolish internal walls etc. as shown on drawings and dispose of rubble off offsite.  Allow to temporarily prop and support the remaining walls, floors and ceilings above.</t>
    </r>
  </si>
  <si>
    <r>
      <rPr>
        <sz val="9"/>
        <rFont val="Arial"/>
        <family val="2"/>
      </rPr>
      <t>Allow to remove any other fixtures and fittings left or conduct any other works to facilitate the proposed works.</t>
    </r>
  </si>
  <si>
    <r>
      <rPr>
        <b/>
        <sz val="9"/>
        <rFont val="Arial"/>
        <family val="2"/>
      </rPr>
      <t>Structural works</t>
    </r>
  </si>
  <si>
    <r>
      <rPr>
        <b/>
        <i/>
        <sz val="9"/>
        <rFont val="Arial"/>
        <family val="2"/>
      </rPr>
      <t>Openings/ Demolition</t>
    </r>
  </si>
  <si>
    <r>
      <rPr>
        <sz val="9"/>
        <rFont val="Arial"/>
        <family val="2"/>
      </rPr>
      <t>As per demolition section above, contractor to provide all materials, labour and expertise to demolish walls, chimney breasts and form openings, including windows and doors to achieve the proposed floor plans as per the general arrangement drawings.  Remove and dispose of all material immediately from site.  Allow to support the above structure with props and leave ready to receive new structural frame.</t>
    </r>
  </si>
  <si>
    <r>
      <rPr>
        <b/>
        <i/>
        <sz val="9"/>
        <rFont val="Arial"/>
        <family val="2"/>
      </rPr>
      <t>Temporary works</t>
    </r>
  </si>
  <si>
    <r>
      <rPr>
        <sz val="9"/>
        <rFont val="Arial"/>
        <family val="2"/>
      </rPr>
      <t xml:space="preserve">Contractor to procure and supply all labour, materials and expertise for any temporary works to complete the project and if necessary appoint specialist engineers to design the temporary works.  </t>
    </r>
    <r>
      <rPr>
        <b/>
        <i/>
        <sz val="9"/>
        <rFont val="Arial"/>
        <family val="2"/>
      </rPr>
      <t>Include for all temporary works cost here including any professional fees.  No additions will be entertained onsite.</t>
    </r>
  </si>
  <si>
    <r>
      <rPr>
        <sz val="9"/>
        <rFont val="Arial"/>
        <family val="2"/>
      </rPr>
      <t>Allow to shut off the road and pavement as necessary and apply for any necessary licences from the Local Authority.</t>
    </r>
  </si>
  <si>
    <r>
      <rPr>
        <sz val="9"/>
        <rFont val="Arial"/>
        <family val="2"/>
      </rPr>
      <t>Provide all necessary hoists, cranes and manpower to complete the structural steel works.</t>
    </r>
  </si>
  <si>
    <r>
      <rPr>
        <sz val="9"/>
        <rFont val="Arial"/>
        <family val="2"/>
      </rPr>
      <t>At no point are materials to be stored on neighbouring properties or areas that contravene Local Authority guidelines.</t>
    </r>
  </si>
  <si>
    <r>
      <rPr>
        <b/>
        <i/>
        <sz val="9"/>
        <rFont val="Arial"/>
        <family val="2"/>
      </rPr>
      <t>Steelwork</t>
    </r>
  </si>
  <si>
    <r>
      <rPr>
        <sz val="9"/>
        <rFont val="Arial"/>
        <family val="2"/>
      </rPr>
      <t>Contractor supply all materials, labour and expertise to conduct the works detailed in general arrangement drawings, including but not limited to, forming holes in existing and newly formed walls, installing concrete pads and steel plates, provide the necessary support/ props as required until the new beams are securely installed, installing all beams, plates, posts, bolts, joists, galvanized metal straps etc. in measurements and locations shown on drawings.</t>
    </r>
  </si>
  <si>
    <r>
      <rPr>
        <sz val="9"/>
        <rFont val="Arial"/>
        <family val="2"/>
      </rPr>
      <t xml:space="preserve">Contractor to allow for all the bolts, connections and connection plates etc. and make due allowance for the design and fabrication of splices to suit
</t>
    </r>
    <r>
      <rPr>
        <sz val="9"/>
        <rFont val="Arial"/>
        <family val="2"/>
      </rPr>
      <t>preferred method of installation.</t>
    </r>
  </si>
  <si>
    <r>
      <rPr>
        <sz val="9"/>
        <rFont val="Arial"/>
        <family val="2"/>
      </rPr>
      <t>Contractor to provide a breakdown of cost for all structural works detailed on drawings upon request from the C.A.  A full list of structural elements can be found on general arrangement drawings and 190328/30, 31, 32, 33, &amp; 34.</t>
    </r>
  </si>
  <si>
    <r>
      <rPr>
        <sz val="9"/>
        <rFont val="Arial"/>
        <family val="2"/>
      </rPr>
      <t>Contractor to provide all materials, labour and expertise to fire proof all steel work and provide the necessary 60 min fire resistance.</t>
    </r>
  </si>
  <si>
    <r>
      <rPr>
        <b/>
        <sz val="9"/>
        <rFont val="Arial"/>
        <family val="2"/>
      </rPr>
      <t>Stairs</t>
    </r>
  </si>
  <si>
    <r>
      <rPr>
        <b/>
        <i/>
        <sz val="9"/>
        <rFont val="Arial"/>
        <family val="2"/>
      </rPr>
      <t>Stairs from first to second floor</t>
    </r>
  </si>
  <si>
    <r>
      <rPr>
        <sz val="9"/>
        <rFont val="Arial"/>
        <family val="2"/>
      </rPr>
      <t>Contractor to appoint competent joiner to adapt the existing stairs and reduce the height as shown on general arrangement drawings.</t>
    </r>
  </si>
  <si>
    <r>
      <rPr>
        <sz val="9"/>
        <rFont val="Arial"/>
        <family val="2"/>
      </rPr>
      <t>Allow to adopt, supply, install trimmers, trimmings and trimmed joists at landings to facilitate installation ensuring all is level on completion.</t>
    </r>
  </si>
  <si>
    <r>
      <rPr>
        <b/>
        <i/>
        <sz val="9"/>
        <rFont val="Arial"/>
        <family val="2"/>
      </rPr>
      <t>Fire protection to stairs</t>
    </r>
  </si>
  <si>
    <r>
      <rPr>
        <sz val="9"/>
        <rFont val="Arial"/>
        <family val="2"/>
      </rPr>
      <t>To the underside of the stairs, supply and fix 2 layers of 15mm with fireline board with tapered edges and ivory face. Tape and fill joints, stop in nail heads and leave ready to receive plaster skim.</t>
    </r>
  </si>
  <si>
    <r>
      <rPr>
        <b/>
        <i/>
        <sz val="9"/>
        <rFont val="Arial"/>
        <family val="2"/>
      </rPr>
      <t>Floor/ ceiling construction</t>
    </r>
  </si>
  <si>
    <r>
      <rPr>
        <sz val="9"/>
        <rFont val="Arial"/>
        <family val="2"/>
      </rPr>
      <t>To all floor and ceiling areas (excluding the lower ground floor), contractor to provide all labour, materials and expertise to supply and install new floating floor and ceiling treatment to existing floor joists as shown on drawing</t>
    </r>
  </si>
  <si>
    <r>
      <rPr>
        <sz val="9"/>
        <rFont val="Arial"/>
        <family val="2"/>
      </rPr>
      <t xml:space="preserve">To the upper ground floor structure, allow to remove existing floor coverings and dispose off site.  Thereafter, clean floor void and supply and install Promat 60 Minute SUPALUX Timber Floor system from above.  Provide all labour, materials and expertise to supply and install the system to entire upper ground floor includ9ing but not limited to 19mm thick T&amp;G chipboard flooring, fillets, ceiling panels and infill all as shown in data sheet in Appendix
</t>
    </r>
    <r>
      <rPr>
        <sz val="9"/>
        <rFont val="Arial"/>
        <family val="2"/>
      </rPr>
      <t>......</t>
    </r>
  </si>
  <si>
    <r>
      <rPr>
        <b/>
        <sz val="9"/>
        <rFont val="Arial"/>
        <family val="2"/>
      </rPr>
      <t>Walls</t>
    </r>
  </si>
  <si>
    <r>
      <rPr>
        <b/>
        <i/>
        <sz val="9"/>
        <rFont val="Arial"/>
        <family val="2"/>
      </rPr>
      <t>External studwork walls at roof level</t>
    </r>
  </si>
  <si>
    <r>
      <rPr>
        <sz val="9"/>
        <rFont val="Arial"/>
        <family val="2"/>
      </rPr>
      <t>Contractor to supply and all materials, labour and expertise to build external stud walls as shown in general arrangement drawings.  Contractor to supply and construct studwork walls using 50 x 105mm C16 studs at 400mm centres with mid span solid noggins to form the structure shown in general drawings.</t>
    </r>
  </si>
  <si>
    <r>
      <rPr>
        <sz val="9"/>
        <rFont val="Arial"/>
        <family val="2"/>
      </rPr>
      <t>As shown on drawings, contractor to supply and install 18mm wbp external grade plywood to outside face of external studwork walls throughout, leaving ready to receive plasterboard finish.</t>
    </r>
  </si>
  <si>
    <r>
      <rPr>
        <sz val="9"/>
        <rFont val="Arial"/>
        <family val="2"/>
      </rPr>
      <t>Between the timber studs, contractor to supply and install 100mm Celotex foil backed PIR insulation, tightly packed with a further 50mm of Celotex insulated backed plasterboards internally.  Leave ready for plaster skim.</t>
    </r>
  </si>
  <si>
    <r>
      <rPr>
        <sz val="9"/>
        <rFont val="Arial"/>
        <family val="2"/>
      </rPr>
      <t>To the outer face of the rigid insulation, contractor to supply and fix Tyvek HouseWrap breather membrane, or similar approved, in accordance with manufacturers recommendations.</t>
    </r>
  </si>
  <si>
    <r>
      <rPr>
        <sz val="9"/>
        <rFont val="Arial"/>
        <family val="2"/>
      </rPr>
      <t>On top of the breather membrane, supply and install 25 x 38mm tanalised softwood battens with 65mm round wire nail at gauge to suit slates.</t>
    </r>
  </si>
  <si>
    <r>
      <rPr>
        <sz val="9"/>
        <rFont val="Arial"/>
        <family val="2"/>
      </rPr>
      <t>Supply and install double lapped Eternit Rivendale Fibre Cement Slates to external stud walls in accordance with manufacturers recommendations. Exact lap and size of tile to be agreed onsite.  Supply and install new lead flashing and soakers to roof junctions in accordance with Lead Sheet Association Guidelines.</t>
    </r>
  </si>
  <si>
    <r>
      <rPr>
        <b/>
        <i/>
        <sz val="9"/>
        <rFont val="Arial"/>
        <family val="2"/>
      </rPr>
      <t>Internal Wall insulation</t>
    </r>
  </si>
  <si>
    <r>
      <rPr>
        <sz val="9"/>
        <rFont val="Arial"/>
        <family val="2"/>
      </rPr>
      <t xml:space="preserve">To the internal face of existing walls, where shown on general arrangement drawings, contractor to provide all materials, labour and expertise to install Xtratherm Thin R internal wall insulation as shown in drawing 190328/23.
</t>
    </r>
    <r>
      <rPr>
        <sz val="9"/>
        <rFont val="Arial"/>
        <family val="2"/>
      </rPr>
      <t>Leave ready for plaster skim.</t>
    </r>
  </si>
  <si>
    <r>
      <rPr>
        <sz val="9"/>
        <rFont val="Arial"/>
        <family val="2"/>
      </rPr>
      <t>Carefully cut chases as necessary and conceal wiring for new electrical installation and thereafter make good prior to plaster skim.</t>
    </r>
  </si>
  <si>
    <r>
      <rPr>
        <b/>
        <i/>
        <sz val="9"/>
        <rFont val="Arial"/>
        <family val="2"/>
      </rPr>
      <t>Sound resistant walls (Detail A)</t>
    </r>
  </si>
  <si>
    <r>
      <rPr>
        <sz val="9"/>
        <rFont val="Arial"/>
        <family val="2"/>
      </rPr>
      <t>Where shown on general arrangement drawings, contractor to provide all materials, labour and expertise to install sound resistant wall as per Details A shown in drawing 190328/21.   Leave ready for plaster skim.</t>
    </r>
  </si>
  <si>
    <r>
      <rPr>
        <b/>
        <i/>
        <sz val="9"/>
        <rFont val="Arial"/>
        <family val="2"/>
      </rPr>
      <t>Sound resistant walls (Detail B)</t>
    </r>
  </si>
  <si>
    <r>
      <rPr>
        <sz val="9"/>
        <rFont val="Arial"/>
        <family val="2"/>
      </rPr>
      <t>Where shown on general arrangement drawings, contractor to provide all materials, labour and expertise to install sound resistant wall as per Details B shown in drawing 190328/22.   Leave ready for plaster skim.</t>
    </r>
  </si>
  <si>
    <r>
      <rPr>
        <b/>
        <i/>
        <sz val="9"/>
        <rFont val="Arial"/>
        <family val="2"/>
      </rPr>
      <t>Internal Stud partition walls within flats</t>
    </r>
  </si>
  <si>
    <r>
      <rPr>
        <sz val="9"/>
        <rFont val="Arial"/>
        <family val="2"/>
      </rPr>
      <t>stud partitions to in locations identified on contract drawings to form internal partitions, structure comprising of 100mm x 50mm softwood studs at 600mm centres with head and sole plates, noggins and filled with 65mm Isover ARP 1200 acoustic insulation between studs.  Thereafter supply and fix 12.5mm plasterboard to both sides, joints filled with joint filler and jointing tape leaving all sound on completion and ready to receive skim coat finish.</t>
    </r>
  </si>
  <si>
    <r>
      <rPr>
        <sz val="9"/>
        <rFont val="Arial"/>
        <family val="2"/>
      </rPr>
      <t>Within all bathrooms, allow for water resistant plasterboard.</t>
    </r>
  </si>
  <si>
    <r>
      <rPr>
        <sz val="9"/>
        <rFont val="Arial"/>
        <family val="2"/>
      </rPr>
      <t>To kitchens and bathrooms, allow to supply and install WBP plywood to timber studwork prior installation of plasterboard.</t>
    </r>
  </si>
  <si>
    <r>
      <rPr>
        <b/>
        <sz val="9"/>
        <rFont val="Arial"/>
        <family val="2"/>
      </rPr>
      <t>Plaster skim coat</t>
    </r>
  </si>
  <si>
    <r>
      <rPr>
        <sz val="9"/>
        <rFont val="Arial"/>
        <family val="2"/>
      </rPr>
      <t>Provide all labour, materials and expertise to supply and apply ‘Thistle multi finish’ skim coat to all new and existing ceiling and wall surfaces (excluding the proposed ground floor living room) including applying PVA bonding coat where necessary leaving all sound on completion and ready to receive decorations.</t>
    </r>
  </si>
  <si>
    <r>
      <rPr>
        <b/>
        <i/>
        <sz val="9"/>
        <rFont val="Arial"/>
        <family val="2"/>
      </rPr>
      <t>Sundry Items</t>
    </r>
  </si>
  <si>
    <r>
      <rPr>
        <sz val="9"/>
        <rFont val="Arial"/>
        <family val="2"/>
      </rPr>
      <t>Supply and fix corner beads on external angles and plaster reveals square with main walls.</t>
    </r>
  </si>
  <si>
    <r>
      <rPr>
        <b/>
        <sz val="9"/>
        <rFont val="Arial"/>
        <family val="2"/>
      </rPr>
      <t>New Kitchens</t>
    </r>
  </si>
  <si>
    <r>
      <rPr>
        <sz val="9"/>
        <rFont val="Arial"/>
        <family val="2"/>
      </rPr>
      <t>Provide all materials labour and expertise and supply and install new mechanical extract fans with humidistat within all kitchens and leave fully operational. Include for ducting where necessary and fitting external grilles and making good as necessary.</t>
    </r>
  </si>
  <si>
    <r>
      <rPr>
        <sz val="9"/>
        <rFont val="Arial"/>
        <family val="2"/>
      </rPr>
      <t>All installations to be strictly in accordance with manufacturer's recommendations, Best Practice and Building Regulations</t>
    </r>
  </si>
  <si>
    <r>
      <rPr>
        <sz val="9"/>
        <rFont val="Arial"/>
        <family val="2"/>
      </rPr>
      <t>Contractor to allow to arrange for full design process between client and Manufacturers design team prior to ordering kitchen.</t>
    </r>
  </si>
  <si>
    <r>
      <rPr>
        <b/>
        <i/>
        <sz val="9"/>
        <rFont val="Arial"/>
        <family val="2"/>
      </rPr>
      <t>Tiles</t>
    </r>
  </si>
  <si>
    <r>
      <rPr>
        <sz val="9"/>
        <rFont val="Arial"/>
        <family val="2"/>
      </rPr>
      <t>Provide all materials, labour and expertise and thoroughly tile all walls within kitchen and above worktops to underside of kitchen units etc., leaving all sound on completion. Include for waterproof grout and adhesive, and applying mastic seals at all corners and junctions with worktops, kitchen units and the like.</t>
    </r>
  </si>
  <si>
    <r>
      <rPr>
        <sz val="9"/>
        <rFont val="Arial"/>
        <family val="2"/>
      </rPr>
      <t xml:space="preserve">Allow the prime cost sum of £40.00 per meter squared for supply
</t>
    </r>
    <r>
      <rPr>
        <sz val="9"/>
        <rFont val="Arial"/>
        <family val="2"/>
      </rPr>
      <t>of new tiles and for pricing purposes allow to install 21 Sq.M of wall tiling (7 Sq. M in each flat).</t>
    </r>
  </si>
  <si>
    <r>
      <rPr>
        <b/>
        <sz val="9"/>
        <rFont val="Arial"/>
        <family val="2"/>
      </rPr>
      <t>Bathrooms</t>
    </r>
  </si>
  <si>
    <r>
      <rPr>
        <sz val="9"/>
        <rFont val="Arial"/>
        <family val="2"/>
      </rPr>
      <t>Provide all materials labour and expertise and supply and install new mechanical extract fan within bathrooms.  Fan to be appropriately rated and incorporate humidistat so as to operate automatically, and leave all sound on completion. Include for ducting where necessary and fitting external grilles and making good as necessary.</t>
    </r>
  </si>
  <si>
    <r>
      <rPr>
        <sz val="9"/>
        <rFont val="Arial"/>
        <family val="2"/>
      </rPr>
      <t>Allow to install all drainage and fix strictly in accordance with manufacturers recommendations, connecting to new plumbing/ electrics, leaving all sound and tidy on completion, ensuring all connections are watertight.</t>
    </r>
  </si>
  <si>
    <r>
      <rPr>
        <sz val="9"/>
        <rFont val="Arial"/>
        <family val="2"/>
      </rPr>
      <t>Provide all materials, labour and expertise and fully tile all walls within bathroom in accordance with previous specification. Include for waterproof adhesive and waterproof grout and introduce mastic seals at junctions with sanitary fittings in all corners etc. in accordance with previous specification, leaving all sound on completion.</t>
    </r>
  </si>
  <si>
    <r>
      <rPr>
        <sz val="9"/>
        <rFont val="Arial"/>
        <family val="2"/>
      </rPr>
      <t xml:space="preserve">Allow the prime cost sum of £50.00 per meter squared for supply
</t>
    </r>
    <r>
      <rPr>
        <sz val="9"/>
        <rFont val="Arial"/>
        <family val="2"/>
      </rPr>
      <t>of new tiles and for pricing purposes allow to install 30 Sq.M of wall tiling (10 Sq. M in each flat).</t>
    </r>
  </si>
  <si>
    <r>
      <rPr>
        <b/>
        <sz val="9"/>
        <rFont val="Arial"/>
        <family val="2"/>
      </rPr>
      <t>Internal Joinery</t>
    </r>
  </si>
  <si>
    <r>
      <rPr>
        <b/>
        <i/>
        <sz val="9"/>
        <rFont val="Arial"/>
        <family val="2"/>
      </rPr>
      <t>Skirting boards</t>
    </r>
  </si>
  <si>
    <r>
      <rPr>
        <sz val="9"/>
        <rFont val="Arial"/>
        <family val="2"/>
      </rPr>
      <t>Provide all labour, materials and expertise to supply and fit 25mm x 200mm moulded softwood skirting boards to all rooms throughout the all flats (except bathrooms), plugged and screwed and stopped.</t>
    </r>
  </si>
  <si>
    <r>
      <rPr>
        <b/>
        <i/>
        <sz val="9"/>
        <rFont val="Arial"/>
        <family val="2"/>
      </rPr>
      <t>Internal doors</t>
    </r>
  </si>
  <si>
    <r>
      <rPr>
        <sz val="9"/>
        <rFont val="Arial"/>
        <family val="2"/>
      </rPr>
      <t>Provide all materials, labour and expertise to supply and fix 22mm x door width softwood door linings with smoke stops and 19mm x 75 mm chamfered architraves to all internal doors openings.</t>
    </r>
  </si>
  <si>
    <r>
      <rPr>
        <sz val="9"/>
        <rFont val="Arial"/>
        <family val="2"/>
      </rPr>
      <t>Provide all labour, materials and expertise to supply and fix new Jeld Wen White Oak Cupboard FD30 Fire doors to all internal door opening including all associated ironmongery.  Allow PC sum of £100.00 per door for ironmongery and provide C.A with various options for approval prior to ordering.  Include to supply and install intumescent strips and smoke seals to all doors along with Briton brushed steel door closers.</t>
    </r>
  </si>
  <si>
    <r>
      <rPr>
        <sz val="9"/>
        <rFont val="Arial"/>
        <family val="2"/>
      </rPr>
      <t xml:space="preserve">To front entrance doors of Flats, provide all labour, materials and expertise to supply and fix new Jeld Wen White Oak FD60 flush door. Allow PC sum of
</t>
    </r>
    <r>
      <rPr>
        <sz val="9"/>
        <rFont val="Arial"/>
        <family val="2"/>
      </rPr>
      <t>£150.00 per door for ironmongery and provide C.A with various options for approval prior to ordering.  Include to supply and install intumescent strips and smoke seals along with Briton brushed steel door closers and spy hole.</t>
    </r>
  </si>
  <si>
    <r>
      <rPr>
        <sz val="9"/>
        <rFont val="Arial"/>
        <family val="2"/>
      </rPr>
      <t>Provide all labour, materials and expertise to supply and fix new Jeld Wen White newbridge Cupboard doors to all internal cupboard doors including all associated ironmongery.  Allow PC sum of £100.00 per door for ironmongery and provide C.A with various options for approval prior to ordering.</t>
    </r>
  </si>
  <si>
    <r>
      <rPr>
        <b/>
        <sz val="9"/>
        <rFont val="Arial"/>
        <family val="2"/>
      </rPr>
      <t>Floor finishes</t>
    </r>
  </si>
  <si>
    <r>
      <rPr>
        <b/>
        <i/>
        <sz val="9"/>
        <rFont val="Arial"/>
        <family val="2"/>
      </rPr>
      <t>Barrier matting to front lobby</t>
    </r>
  </si>
  <si>
    <r>
      <rPr>
        <sz val="9"/>
        <rFont val="Arial"/>
        <family val="2"/>
      </rPr>
      <t>Contractor to supply and lay new heavy contract barrier matting to ground floor lobby as you enter the property.   Allow for supply cost of £50 per sq. meter. Colour: TBC.  Barrier matting to be laid in accordance with manufacturer's instructions, including underlay, carpet tacks, tackifier and adhesive as required.</t>
    </r>
  </si>
  <si>
    <r>
      <rPr>
        <b/>
        <i/>
        <sz val="9"/>
        <rFont val="Arial"/>
        <family val="2"/>
      </rPr>
      <t>Carpets to communal staircase and ground floor hallway</t>
    </r>
  </si>
  <si>
    <r>
      <rPr>
        <sz val="9"/>
        <rFont val="Arial"/>
        <family val="2"/>
      </rPr>
      <t>Contractor shall allow for supply and lay new carpet tiles to the staircase including upper ground floor hallway, stairs and landings.  Allow for supply cost of £23 per sq. meter.  All carpets to be laid in accordance with manufactures instructions, including underlay, carpet tacks, tackifier and adhesive as required.  Type and colours to be confirmed.</t>
    </r>
  </si>
  <si>
    <r>
      <rPr>
        <sz val="9"/>
        <rFont val="Arial"/>
        <family val="2"/>
      </rPr>
      <t>To new staircases, provide and fit new aluminum nosings in all locations, to be Gradus or similar approved with coloured inserts, colour to be agreed.</t>
    </r>
  </si>
  <si>
    <r>
      <rPr>
        <b/>
        <i/>
        <sz val="9"/>
        <rFont val="Arial"/>
        <family val="2"/>
      </rPr>
      <t>Strip wood flooring</t>
    </r>
  </si>
  <si>
    <r>
      <rPr>
        <sz val="9"/>
        <rFont val="Arial"/>
        <family val="2"/>
      </rPr>
      <t>Provide all materials, labour and expertise and supply and install new strip wood flooring and underlay throughout all flats (except in bedrooms and bathrooms) leaving all sound on completion.</t>
    </r>
  </si>
  <si>
    <r>
      <rPr>
        <sz val="9"/>
        <rFont val="Arial"/>
        <family val="2"/>
      </rPr>
      <t>Allow a PC Sum of £50m2 for supply only of flooring</t>
    </r>
  </si>
  <si>
    <r>
      <rPr>
        <b/>
        <i/>
        <sz val="9"/>
        <rFont val="Arial"/>
        <family val="2"/>
      </rPr>
      <t>Ceramic tiles</t>
    </r>
  </si>
  <si>
    <r>
      <rPr>
        <sz val="9"/>
        <rFont val="Arial"/>
        <family val="2"/>
      </rPr>
      <t>To bathroom floors, provide all labour, materials and expertise to supply and fix glazed ceramic tiles fixed with Richafix waterproof Grade 25 adhesive or similar approved, flush pointed with white waterproof epoxy grout with plastic quadrant edging. Include for lining floor beneath with 6mm ply as necessary and leave all sound on completion</t>
    </r>
  </si>
  <si>
    <r>
      <rPr>
        <sz val="9"/>
        <rFont val="Arial"/>
        <family val="2"/>
      </rPr>
      <t>Allow a PC Sum of £50 m2 for supply only.</t>
    </r>
  </si>
  <si>
    <r>
      <rPr>
        <b/>
        <sz val="9"/>
        <rFont val="Arial"/>
        <family val="2"/>
      </rPr>
      <t>Internal Decorations</t>
    </r>
  </si>
  <si>
    <r>
      <rPr>
        <b/>
        <i/>
        <sz val="9"/>
        <rFont val="Arial"/>
        <family val="2"/>
      </rPr>
      <t>New internal walls</t>
    </r>
  </si>
  <si>
    <r>
      <rPr>
        <sz val="9"/>
        <rFont val="Arial"/>
        <family val="2"/>
      </rPr>
      <t>One mist and two full coats Dulux trade Diamond Matt emulsion. Colours to be agreed.</t>
    </r>
  </si>
  <si>
    <r>
      <rPr>
        <b/>
        <i/>
        <sz val="9"/>
        <rFont val="Arial"/>
        <family val="2"/>
      </rPr>
      <t>New internal ceiling</t>
    </r>
  </si>
  <si>
    <r>
      <rPr>
        <b/>
        <i/>
        <sz val="9"/>
        <rFont val="Arial"/>
        <family val="2"/>
      </rPr>
      <t>New internal timber surfaces</t>
    </r>
  </si>
  <si>
    <r>
      <rPr>
        <sz val="9"/>
        <rFont val="Arial"/>
        <family val="2"/>
      </rPr>
      <t>Primer, undercoat and two full bodied finishing satin coats.  Colours to be agreed.</t>
    </r>
  </si>
  <si>
    <r>
      <rPr>
        <b/>
        <sz val="9"/>
        <rFont val="Arial"/>
        <family val="2"/>
      </rPr>
      <t>Window blinds</t>
    </r>
  </si>
  <si>
    <r>
      <rPr>
        <sz val="9"/>
        <rFont val="Arial"/>
        <family val="2"/>
      </rPr>
      <t>The contractor shall supply  and fit Luxaflex roller blinds in black out fabric to all windows, colour to be agreed.  Allow for mounting the blinds  to the face of the  wall  above  the  windows  with  all  controls  mounted  on  the  left  of  the window.</t>
    </r>
  </si>
  <si>
    <r>
      <rPr>
        <b/>
        <sz val="9"/>
        <rFont val="Arial"/>
        <family val="2"/>
      </rPr>
      <t>MECHANICAL, ELECTRICAL, WATER DISTRIBUTION &amp; DRAINAGE</t>
    </r>
  </si>
  <si>
    <r>
      <rPr>
        <b/>
        <sz val="9"/>
        <rFont val="Arial"/>
        <family val="2"/>
      </rPr>
      <t>Preambles</t>
    </r>
  </si>
  <si>
    <r>
      <rPr>
        <sz val="9"/>
        <rFont val="Arial"/>
        <family val="2"/>
      </rPr>
      <t>The contractor shall, supply, install, test and commission a complete drainage, plumbing and mechanical and electrical installation.  The Contractor shall assume full responsibility that the works defined in this section and ensure they are correctly undertaken and installation &amp; record drawings / commissioning and maintenance records produced.</t>
    </r>
  </si>
  <si>
    <r>
      <rPr>
        <sz val="9"/>
        <rFont val="Arial"/>
        <family val="2"/>
      </rPr>
      <t>The contractor is to develop this performance specification into working drawings/ design which comply with current Building Regulations for approval by the C.A before installation.  Drawings and specification to be provided in a timely manner and in accordance with Preliminaries to the contract.</t>
    </r>
  </si>
  <si>
    <r>
      <rPr>
        <sz val="9"/>
        <rFont val="Arial"/>
        <family val="2"/>
      </rPr>
      <t>The contractor is to provide O&amp;M documentation to include: -</t>
    </r>
  </si>
  <si>
    <r>
      <rPr>
        <sz val="9"/>
        <rFont val="Arial"/>
        <family val="2"/>
      </rPr>
      <t>Manufacturer’s literature and testing &amp; commissioning certification</t>
    </r>
  </si>
  <si>
    <r>
      <rPr>
        <sz val="9"/>
        <rFont val="Arial"/>
        <family val="2"/>
      </rPr>
      <t>Method of operation, fault-finding procedures, routine maintenance procedures and repair procedures.</t>
    </r>
  </si>
  <si>
    <r>
      <rPr>
        <sz val="9"/>
        <rFont val="Arial"/>
        <family val="2"/>
      </rPr>
      <t>As-built record drawings</t>
    </r>
  </si>
  <si>
    <r>
      <rPr>
        <sz val="9"/>
        <rFont val="Arial"/>
        <family val="2"/>
      </rPr>
      <t>The Contractor shall fully test, re-commission (if required) and demonstrate any new installations or modifications to existing installations prior to completion. Unless this has been undertaken then PC will not be issued.</t>
    </r>
  </si>
  <si>
    <r>
      <rPr>
        <sz val="9"/>
        <rFont val="Arial"/>
        <family val="2"/>
      </rPr>
      <t>Contractor to allow for all builders work in connection with the installations.</t>
    </r>
  </si>
  <si>
    <r>
      <rPr>
        <b/>
        <sz val="9"/>
        <rFont val="Arial"/>
        <family val="2"/>
      </rPr>
      <t>Utility Supplies</t>
    </r>
  </si>
  <si>
    <r>
      <rPr>
        <sz val="9"/>
        <rFont val="Arial"/>
        <family val="2"/>
      </rPr>
      <t>The contractor is to contact all the following utility companies and arrange for the following: -</t>
    </r>
  </si>
  <si>
    <r>
      <rPr>
        <sz val="9"/>
        <rFont val="Arial"/>
        <family val="2"/>
      </rPr>
      <t>* New gas connection and meter to each flat. Exact location of meter to be agreed.</t>
    </r>
  </si>
  <si>
    <r>
      <rPr>
        <sz val="9"/>
        <rFont val="Arial"/>
        <family val="2"/>
      </rPr>
      <t>* New electrical connection and meter to each flat and ground floor retail unit. Exact location of meter to be agreed.</t>
    </r>
  </si>
  <si>
    <r>
      <rPr>
        <sz val="9"/>
        <rFont val="Arial"/>
        <family val="2"/>
      </rPr>
      <t>* New water supply and meter to each flat and ground floor retail unit. Exact location of meter to be agreed.</t>
    </r>
  </si>
  <si>
    <r>
      <rPr>
        <sz val="9"/>
        <rFont val="Arial"/>
        <family val="2"/>
      </rPr>
      <t>* New BT/ Internet connection for each flat and ground floor retail unit.</t>
    </r>
  </si>
  <si>
    <r>
      <rPr>
        <sz val="9"/>
        <rFont val="Arial"/>
        <family val="2"/>
      </rPr>
      <t>Contractor to allow for excavations and builders work in connection with new services and include costs for the same here.</t>
    </r>
  </si>
  <si>
    <r>
      <rPr>
        <b/>
        <sz val="9"/>
        <rFont val="Arial"/>
        <family val="2"/>
      </rPr>
      <t>Electrical Installations</t>
    </r>
  </si>
  <si>
    <r>
      <rPr>
        <sz val="9"/>
        <rFont val="Arial"/>
        <family val="2"/>
      </rPr>
      <t>All electrical works to be undertaken by qualified NIC EIC engineer, in strict accordance with the Wiring regulations 17th Edition and tested and certified on completion.</t>
    </r>
  </si>
  <si>
    <r>
      <rPr>
        <b/>
        <i/>
        <sz val="9"/>
        <rFont val="Arial"/>
        <family val="2"/>
      </rPr>
      <t>General</t>
    </r>
  </si>
  <si>
    <r>
      <rPr>
        <sz val="9"/>
        <rFont val="Arial"/>
        <family val="2"/>
      </rPr>
      <t>All works and certification must be to the latest edition regulations and to standard BS 7671 Wiring Regulations. These are to be carried out strictly in accordance with the current IEE Wiring Regulations and the relevant Factories Acts.</t>
    </r>
  </si>
  <si>
    <r>
      <rPr>
        <sz val="9"/>
        <rFont val="Arial"/>
        <family val="2"/>
      </rPr>
      <t xml:space="preserve">All cabling to be contained within ceiling voids or chased in within the walls; should surface conduit be required then seek CA approval prior to installation.  Contactor to visit site at tender stage to check for capacity of existing system and include for any upgrades required including new distribution boards etc.  </t>
    </r>
    <r>
      <rPr>
        <b/>
        <i/>
        <sz val="9"/>
        <rFont val="Arial"/>
        <family val="2"/>
      </rPr>
      <t>No extras will be entertained for failure to fully assess system and include for all items at tender stage.</t>
    </r>
  </si>
  <si>
    <r>
      <rPr>
        <b/>
        <i/>
        <sz val="9"/>
        <rFont val="Arial"/>
        <family val="2"/>
      </rPr>
      <t>Electrical installation</t>
    </r>
  </si>
  <si>
    <r>
      <rPr>
        <sz val="9"/>
        <rFont val="Arial"/>
        <family val="2"/>
      </rPr>
      <t>Provide all materials, labour and expertise and carefully introduce new miniature circuit breaker and thereafter rewire each flat in accordance with general arrangement drawings.   Allow for and provide and install the complete small power installation to suit the layout shown on the drawings including fittings, conduit and all accessories.  Include for, main powered smoke alarm installation, fuse switch spurs, shaver socket, TV sockets etc.</t>
    </r>
  </si>
  <si>
    <r>
      <rPr>
        <sz val="9"/>
        <rFont val="Arial"/>
        <family val="2"/>
      </rPr>
      <t>Allow for main &amp; supplementary Bonding as required, supplying and fitting energy saving light bulbs throughout house, testing and commissioning and compilation of O &amp; M manuals.</t>
    </r>
  </si>
  <si>
    <r>
      <rPr>
        <sz val="9"/>
        <rFont val="Arial"/>
        <family val="2"/>
      </rPr>
      <t>Contractor to extend electrical supply from intake and connect it to a new contractor supplied and installed distribution board located in positions shown on general arrangement drawings.  Distribution boards shall be  manufactured by MEM and sufficient spare ways shall be allocated for future fittings.  Distribution boards shall comply with BS EN 60439-1.</t>
    </r>
  </si>
  <si>
    <r>
      <rPr>
        <sz val="9"/>
        <rFont val="Arial"/>
        <family val="2"/>
      </rPr>
      <t>Fully typed circuit charts shall be provided to permit easy identification of circuits.</t>
    </r>
  </si>
  <si>
    <r>
      <rPr>
        <b/>
        <i/>
        <sz val="9"/>
        <rFont val="Arial"/>
        <family val="2"/>
      </rPr>
      <t>Small Power</t>
    </r>
  </si>
  <si>
    <r>
      <rPr>
        <sz val="9"/>
        <rFont val="Arial"/>
        <family val="2"/>
      </rPr>
      <t xml:space="preserve">The Contractor shall supply, install and connect 13A double switch sockets 450mm above floor levels unless otherwise shown in positions indicated on
</t>
    </r>
    <r>
      <rPr>
        <sz val="9"/>
        <rFont val="Arial"/>
        <family val="2"/>
      </rPr>
      <t>drawings.  Allow for sockets above kitchen worktop.</t>
    </r>
  </si>
  <si>
    <r>
      <rPr>
        <sz val="9"/>
        <rFont val="Arial"/>
        <family val="2"/>
      </rPr>
      <t>within each flat, include for 4 No. double sockets per room.  Allow also for 1 No. BT point and 1 No. telephone socket. Include for fused spurs within kitchen to suit electric oven and hob, new gas fired combination boiler and fit 4 No. worktop sockets in in kitchen and 4 No. skirting mounted sockets to suit new kitchen appliances. Allow for mechanical extract fan within kitchen.</t>
    </r>
  </si>
  <si>
    <r>
      <rPr>
        <sz val="9"/>
        <rFont val="Arial"/>
        <family val="2"/>
      </rPr>
      <t>All accessories shall be of white plastic and CA approval must be sought prior to installation.</t>
    </r>
  </si>
  <si>
    <r>
      <rPr>
        <sz val="9"/>
        <rFont val="Arial"/>
        <family val="2"/>
      </rPr>
      <t>Contractor to supply and install all the necessary cables, fixtures and fittings as required ensuring that the plug sockets are fully compliant and operational on completion with necessary commissioning certificates.</t>
    </r>
  </si>
  <si>
    <r>
      <rPr>
        <b/>
        <i/>
        <sz val="9"/>
        <rFont val="Arial"/>
        <family val="2"/>
      </rPr>
      <t>Internal lighting</t>
    </r>
  </si>
  <si>
    <r>
      <rPr>
        <sz val="9"/>
        <rFont val="Arial"/>
        <family val="2"/>
      </rPr>
      <t>The contractor to supply and install lighting points /luminaries, switches, etc., as shown on the drawings.  Luminaries shall be of low energy type except where indicated.  All accessories shall be of the plastic type.</t>
    </r>
  </si>
  <si>
    <r>
      <rPr>
        <sz val="9"/>
        <rFont val="Arial"/>
        <family val="2"/>
      </rPr>
      <t xml:space="preserve">Within each flat, include for 4 No. recessed LED halogen lights within kitchen switch by door. 2 No. recessed LED halogen lights entrance lobbys, and 8 No. recessed LED halogen spotlights within each lounge and bedrooms .
</t>
    </r>
    <r>
      <rPr>
        <sz val="9"/>
        <rFont val="Arial"/>
        <family val="2"/>
      </rPr>
      <t>Allow for 4 No. IP rated recessed spotlights within bathrooms, together with extract fan and shaver point etc. All lights to be switched from the room entrance door.</t>
    </r>
  </si>
  <si>
    <r>
      <rPr>
        <sz val="9"/>
        <rFont val="Arial"/>
        <family val="2"/>
      </rPr>
      <t>Allow a PC sum of £20 per light fitting.</t>
    </r>
  </si>
  <si>
    <r>
      <rPr>
        <sz val="9"/>
        <rFont val="Arial"/>
        <family val="2"/>
      </rPr>
      <t>All luminaries shall be installed and connected in accordance with the manufacturer’s instructions and switches located as per drawing.</t>
    </r>
  </si>
  <si>
    <r>
      <rPr>
        <b/>
        <i/>
        <sz val="9"/>
        <rFont val="Arial"/>
        <family val="2"/>
      </rPr>
      <t>Emergency Lighting in stairway</t>
    </r>
  </si>
  <si>
    <r>
      <rPr>
        <sz val="9"/>
        <rFont val="Arial"/>
        <family val="2"/>
      </rPr>
      <t>The contractor shall design, supply and install new emergency lighting installation to all areas in accordance with BS 5266 pt. 1: 2005 and to building control approval.  All emergency lighting shall be provided with local key switches for testing purposes.</t>
    </r>
  </si>
  <si>
    <r>
      <rPr>
        <sz val="9"/>
        <rFont val="Arial"/>
        <family val="2"/>
      </rPr>
      <t>Luminaires shall be as per Cooper ‘Briteblade’ range or equivalent.</t>
    </r>
  </si>
  <si>
    <r>
      <rPr>
        <sz val="9"/>
        <rFont val="Arial"/>
        <family val="2"/>
      </rPr>
      <t>Contractor shall carry out the complete testing, commissioning and demonstration of the emergency lighting system to C.A and Issue fully completed BS 7671 and BS 5266 certification for the entire installation.</t>
    </r>
  </si>
  <si>
    <r>
      <rPr>
        <b/>
        <i/>
        <sz val="9"/>
        <rFont val="Arial"/>
        <family val="2"/>
      </rPr>
      <t>Fire alarm thoughout</t>
    </r>
  </si>
  <si>
    <r>
      <rPr>
        <sz val="9"/>
        <rFont val="Arial"/>
        <family val="2"/>
      </rPr>
      <t>The contractor shall design, supply and install a new fire alarm installation to provide protection to a minimum of ‘L2’ as defined in BS5839 to suit the layout shown on the drawings.  New system to be installed in strict accordance with current guidelines.</t>
    </r>
  </si>
  <si>
    <r>
      <rPr>
        <sz val="9"/>
        <rFont val="Arial"/>
        <family val="2"/>
      </rPr>
      <t>The fire alarm system installation shall be analogue addressable.  The fire alarm system shall contain multiple loops for detectors, sensors, alarms and output devices and installed to Category L2, as described in BS 5839: Pt 1 + A2:2008.</t>
    </r>
  </si>
  <si>
    <r>
      <rPr>
        <sz val="9"/>
        <rFont val="Arial"/>
        <family val="2"/>
      </rPr>
      <t>Fire alarm wiring installations shall be installed flush in all occupied areas.</t>
    </r>
  </si>
  <si>
    <r>
      <rPr>
        <sz val="9"/>
        <rFont val="Arial"/>
        <family val="2"/>
      </rPr>
      <t>Manual call points shall be red finish, mounted in clearly visible locations and positioned to comply with the requirements of BS8300</t>
    </r>
  </si>
  <si>
    <r>
      <rPr>
        <sz val="9"/>
        <rFont val="Arial"/>
        <family val="2"/>
      </rPr>
      <t>Smoke detectors shall be of the ceiling mounted optical or ionisation detection type and shall be installed complete with interchangeable plug in bases and integral LED’s.</t>
    </r>
  </si>
  <si>
    <r>
      <rPr>
        <sz val="9"/>
        <rFont val="Arial"/>
        <family val="2"/>
      </rPr>
      <t>Heat detectors shall be of the ceiling mounted fixed temperature patterns with rate of rise as required and be installed complete with interchangeable plug-in bases.</t>
    </r>
  </si>
  <si>
    <r>
      <rPr>
        <sz val="9"/>
        <rFont val="Arial"/>
        <family val="2"/>
      </rPr>
      <t>Sounders shall be of the electronic type capable of providing 93dBA at 1 metre mounted on a suitable flush or surface conduit mounting box and fixed to the ceiling or wall to suit the various areas of the building.</t>
    </r>
  </si>
  <si>
    <r>
      <rPr>
        <sz val="9"/>
        <rFont val="Arial"/>
        <family val="2"/>
      </rPr>
      <t>Contractor shall carry out the complete testing, commissioning and demonstration of the fire alarm system to C.A and issue certification as detailed in BS 5839 for the entire installation.</t>
    </r>
  </si>
  <si>
    <r>
      <rPr>
        <sz val="9"/>
        <rFont val="Arial"/>
        <family val="2"/>
      </rPr>
      <t>Allow for the equipment manufacturers to provide full instruction of the complete fire alarm for the client’s representatives after the contract completion date.  Ensure that the 'as fitted' operating and maintenance manuals and drawings are available at the time of the demonstration and instruction.  Provide spare glass and the test keys for the alarm break glass units installed.</t>
    </r>
  </si>
  <si>
    <r>
      <rPr>
        <b/>
        <i/>
        <sz val="9"/>
        <rFont val="Arial"/>
        <family val="2"/>
      </rPr>
      <t>Earthing and bonding</t>
    </r>
  </si>
  <si>
    <r>
      <rPr>
        <sz val="9"/>
        <rFont val="Arial"/>
        <family val="2"/>
      </rPr>
      <t>The Contractor shall bond and connect to earth all exposed conductive parts of the electrical installation and all extraneous conductive parts so that in the event of a fault of negligible impedance, disconnection will take place in a manner and in such time as to ensure no danger arises.</t>
    </r>
  </si>
  <si>
    <r>
      <rPr>
        <sz val="9"/>
        <rFont val="Arial"/>
        <family val="2"/>
      </rPr>
      <t>Contractor shall ensure compliance with BS 7671, BS 7430, BS 6651 and EMC Directive, in particular.</t>
    </r>
  </si>
  <si>
    <r>
      <rPr>
        <b/>
        <i/>
        <sz val="9"/>
        <rFont val="Arial"/>
        <family val="2"/>
      </rPr>
      <t>Intercom System</t>
    </r>
  </si>
  <si>
    <r>
      <rPr>
        <sz val="9"/>
        <rFont val="Arial"/>
        <family val="2"/>
      </rPr>
      <t xml:space="preserve">Provide all materials, labour and expertise and supply and install new video entry system with supply and handsets serving all flats leaving all sound on completion.  Allow a PC sum of £500 for supply of video intercom.
</t>
    </r>
    <r>
      <rPr>
        <sz val="9"/>
        <rFont val="Arial"/>
        <family val="2"/>
      </rPr>
      <t>Contractor to obtain CA approval of intercom system prior to installation.</t>
    </r>
  </si>
  <si>
    <r>
      <rPr>
        <b/>
        <i/>
        <sz val="9"/>
        <rFont val="Arial"/>
        <family val="2"/>
      </rPr>
      <t>Telecoms</t>
    </r>
  </si>
  <si>
    <r>
      <rPr>
        <sz val="9"/>
        <rFont val="Arial"/>
        <family val="2"/>
      </rPr>
      <t>Contractor to supply and install BT network sockets in each flat.  Contractor to test and certify installation to EN 50346 and leave fully operational.</t>
    </r>
  </si>
  <si>
    <r>
      <rPr>
        <b/>
        <i/>
        <sz val="9"/>
        <rFont val="Arial"/>
        <family val="2"/>
      </rPr>
      <t>TV outlet/ Ariel</t>
    </r>
  </si>
  <si>
    <r>
      <rPr>
        <sz val="9"/>
        <rFont val="Arial"/>
        <family val="2"/>
      </rPr>
      <t>Provide all materials, labour and expertise to supply and install new TV outlets in each flat.  Allow for 1 No. socket in each lounge and 1 per Bedroom.  Allow to connect to existing Ariel and leave fully operational on completion.</t>
    </r>
  </si>
  <si>
    <r>
      <rPr>
        <b/>
        <sz val="9"/>
        <rFont val="Arial"/>
        <family val="2"/>
      </rPr>
      <t>Gas supply</t>
    </r>
  </si>
  <si>
    <r>
      <rPr>
        <sz val="9"/>
        <rFont val="Arial"/>
        <family val="2"/>
      </rPr>
      <t>Provide all materials, labour and expertise and carefully extend new gas supply in copper pipework to serve new boilers in position as detailed on contract drawings.  Works to be completed strictly in accordance with current regulations and best practice.  Allow for concealing pipework within boxing, cupboards and voids and cutting chases as necessary.</t>
    </r>
  </si>
  <si>
    <r>
      <rPr>
        <b/>
        <sz val="9"/>
        <rFont val="Arial"/>
        <family val="2"/>
      </rPr>
      <t>Central Heating</t>
    </r>
  </si>
  <si>
    <r>
      <rPr>
        <sz val="9"/>
        <rFont val="Arial"/>
        <family val="2"/>
      </rPr>
      <t>Provide all labour, materials and expertise to supply and install Valliant gas combi boilers in each flat.  Include for Valliant range high efficiency flues and Variable Termination Kits, programmable digital room thermostat.  Supply and fit properly sized Stelrad Softline radiators to each room as shown on drawings with TRV’s all in accordance with manufacturer’s recommendations.  Include for towel rail within shower/ bathrooms.  Conseal all pipework within floors, ceiling and box in any surface mounted pipework. Leave central heatings fully operational and certified.</t>
    </r>
  </si>
  <si>
    <r>
      <rPr>
        <b/>
        <i/>
        <sz val="9"/>
        <rFont val="Arial"/>
        <family val="2"/>
      </rPr>
      <t>Electric Towel Rack/Radiator in 1st floor bathroom and ensuite</t>
    </r>
  </si>
  <si>
    <r>
      <rPr>
        <sz val="9"/>
        <rFont val="Arial"/>
        <family val="2"/>
      </rPr>
      <t>The Contractor is to undertake heat loss calculations of the bathroom and ensuite and calculate the size of the electrics towel rails required.  Thereafter provide all labour, materials and expertise to supply and fit properly sized electrics towel rails with individual thermostats and timers in location shown on drawing.  Allow for all power supplies as detailed above and leave fully operational.  Allow a PC sum of £250 for supply only of each radiator.</t>
    </r>
  </si>
  <si>
    <r>
      <rPr>
        <sz val="9"/>
        <rFont val="Arial"/>
        <family val="2"/>
      </rPr>
      <t>Provide all materials, labour and expertise and supply and install new hard wired carbon monoxide monitor adjacent all new boilers in compliance with current regulations.</t>
    </r>
  </si>
  <si>
    <r>
      <rPr>
        <sz val="9"/>
        <rFont val="Arial"/>
        <family val="2"/>
      </rPr>
      <t>Include to box in all boilers and pipework and include for opening doors.</t>
    </r>
  </si>
  <si>
    <r>
      <rPr>
        <b/>
        <sz val="9"/>
        <rFont val="Arial"/>
        <family val="2"/>
      </rPr>
      <t>Cold water distribution</t>
    </r>
  </si>
  <si>
    <r>
      <rPr>
        <sz val="9"/>
        <rFont val="Arial"/>
        <family val="2"/>
      </rPr>
      <t>Provide all labour, materials and expertise to extend new cold water supply to new kitchens, shower/ bathrooms, central heating systems and WC's.</t>
    </r>
  </si>
  <si>
    <r>
      <rPr>
        <sz val="9"/>
        <rFont val="Arial"/>
        <family val="2"/>
      </rPr>
      <t>From new incoming main, carefully extend copper pipework to serve all plumbing and sanitary facilities as detailed on contract drawings and as per current Building Regulations.</t>
    </r>
  </si>
  <si>
    <r>
      <rPr>
        <sz val="9"/>
        <rFont val="Arial"/>
        <family val="2"/>
      </rPr>
      <t>All distribution pipework shall be concealed wherever possible and exposed pipework shall be kept to a minimum. Any exposed pipework shall incorporate a “chrome” finish.</t>
    </r>
  </si>
  <si>
    <r>
      <rPr>
        <sz val="9"/>
        <rFont val="Arial"/>
        <family val="2"/>
      </rPr>
      <t>All copper pipework to have soldered joints and are to be connected to individual sanitary appliances with appropriately sized metal sheathed flexible hose in compliance with current water bye laws and building regulations.</t>
    </r>
  </si>
  <si>
    <r>
      <rPr>
        <sz val="9"/>
        <rFont val="Arial"/>
        <family val="2"/>
      </rPr>
      <t>The new cold water systems shall be designed, installed and tested fully in compliance with BS6700, the New Water Supply Regulations (1999), The WRAS Water Regulations Guide, HSE’s Approved Code of Practice and</t>
    </r>
  </si>
  <si>
    <r>
      <rPr>
        <b/>
        <sz val="9"/>
        <rFont val="Arial"/>
        <family val="2"/>
      </rPr>
      <t>Hot water distribution</t>
    </r>
  </si>
  <si>
    <r>
      <rPr>
        <sz val="9"/>
        <rFont val="Arial"/>
        <family val="2"/>
      </rPr>
      <t>The contractor shall allow to provide hot water distribution to accommodate the new kitchens, shower/ bathrooms and WC's as shown on drawings.</t>
    </r>
  </si>
  <si>
    <r>
      <rPr>
        <sz val="9"/>
        <rFont val="Arial"/>
        <family val="2"/>
      </rPr>
      <t xml:space="preserve">All distribution pipework shall be concealed wherever possible and exposed pipework shall be kept to a minimum.  </t>
    </r>
    <r>
      <rPr>
        <b/>
        <i/>
        <sz val="9"/>
        <rFont val="Arial"/>
        <family val="2"/>
      </rPr>
      <t>Any exposed pipework shall incorporate a “chrome” finish.</t>
    </r>
  </si>
  <si>
    <r>
      <rPr>
        <sz val="9"/>
        <rFont val="Arial"/>
        <family val="2"/>
      </rPr>
      <t>Provide all materials, labour and expertise and carefully run new copper pipe work from new boilers to serve all areas. All copper pipework to have soldered joints and are to be connected to individual sanitary appliances with appropriately sized metal sheathed flexible hose in compliance with current water bye laws and building regulations.  Include for stop taps and gates valves etc. to isolate each supply and facility including roller ball couplings. All hot water taps to be left fully operational.</t>
    </r>
  </si>
  <si>
    <r>
      <rPr>
        <sz val="9"/>
        <rFont val="Arial"/>
        <family val="2"/>
      </rPr>
      <t>The new hot water systems shall be designed, installed and tested fully in compliance with BS6700, the New Water Supply Regulations (1999), The WRAS Water Regulations Guide, HSE’s Approved Code of Practice and Guidance L8 and CIBSE (TM13 2000) guidance notes for control of Legionella, CIBSE Public Health Engineering Guide G and to meet the requirements of the Local Water Authority Byelaws inspector.</t>
    </r>
  </si>
  <si>
    <r>
      <rPr>
        <b/>
        <sz val="9"/>
        <rFont val="Arial"/>
        <family val="2"/>
      </rPr>
      <t>Drainage</t>
    </r>
  </si>
  <si>
    <r>
      <rPr>
        <sz val="9"/>
        <rFont val="Arial"/>
        <family val="2"/>
      </rPr>
      <t>From all sanitaryware supply and fit all necessary waste pipes, traps,  fixtures and fitting etc. and for connection of same to new contractor supplied and installed SVP and underground drainage.  All in accordance with current Building Regulations. The systems shall be based upon a simple single stack design philosophy and shall incorporate air admittance valves and/or ventilation to atmosphere in accordance with the requirements of Building Regulations Part H and as defined in BS EN 12056 - Part 2: 2000 utilising the tabulated discharge units in Table 2.</t>
    </r>
  </si>
  <si>
    <r>
      <rPr>
        <sz val="9"/>
        <rFont val="Arial"/>
        <family val="2"/>
      </rPr>
      <t>All new soil and waste pipework shall be concealed behind paneling systems and within service ducts wherever practically possible. Soil and waste pipework shall be in PVC-U pipework with solvent welded joints unless exposed.</t>
    </r>
  </si>
  <si>
    <r>
      <rPr>
        <sz val="9"/>
        <rFont val="Arial"/>
        <family val="2"/>
      </rPr>
      <t>Access /rodding points shall be provided at all new branches, changes of direction and at points of connection into the drainage stacks</t>
    </r>
  </si>
  <si>
    <r>
      <rPr>
        <sz val="9"/>
        <rFont val="Arial"/>
        <family val="2"/>
      </rPr>
      <t>Where new pipework passes through fire compartment barriers, include for necessary fire sleeves.</t>
    </r>
  </si>
  <si>
    <r>
      <rPr>
        <sz val="9"/>
        <rFont val="Arial"/>
        <family val="2"/>
      </rPr>
      <t>Include for all necessary excavation, temporary works, sub-base material, pipework, man holes, drain pipes etc. to complete the installation in accordance with current building regulations and obtain the necessary permission from the local water authority to connect into the drains.</t>
    </r>
  </si>
  <si>
    <r>
      <rPr>
        <sz val="9"/>
        <rFont val="Arial"/>
        <family val="2"/>
      </rPr>
      <t>Where foundations pass over drains, foundations depth shall be increased if necessary, to at least that of the drain and the wall/ foundation carried over pipe on precast concrete lintels of appropriate width, so that no load is transferred to the drain. Provide minimum 50mm clearance to pipe and provide ridged sheet material each side of opening to prevent entry of fill or vermin.   Fill void around pipe with compressible sealant to prevent entry of gas.</t>
    </r>
  </si>
  <si>
    <r>
      <rPr>
        <sz val="9"/>
        <rFont val="Arial"/>
        <family val="2"/>
      </rPr>
      <t>On completion, leave drainage full operational and constructed in accordance with best practice.</t>
    </r>
  </si>
  <si>
    <r>
      <rPr>
        <b/>
        <sz val="9"/>
        <rFont val="Arial"/>
        <family val="2"/>
      </rPr>
      <t>Builders work in connection services.</t>
    </r>
  </si>
  <si>
    <r>
      <rPr>
        <sz val="9"/>
        <rFont val="Arial"/>
        <family val="2"/>
      </rPr>
      <t>Contractor to allow for all associated building works in connection to the services.</t>
    </r>
  </si>
  <si>
    <r>
      <rPr>
        <sz val="9"/>
        <rFont val="Arial"/>
        <family val="2"/>
      </rPr>
      <t>To all locations where it is not possible to conceal pipework within the fabric of the structure allow to construct 19mm plywood boxing around services, fixed to ex. 25x25mm softwood frame beneath.  All boxing to receive British Gypsum "Thistle-Multi" skim finish ready to receive decorations.</t>
    </r>
  </si>
  <si>
    <r>
      <rPr>
        <b/>
        <sz val="9"/>
        <rFont val="Arial"/>
        <family val="2"/>
      </rPr>
      <t>Under ground drains</t>
    </r>
  </si>
  <si>
    <r>
      <rPr>
        <sz val="9"/>
        <rFont val="Arial"/>
        <family val="2"/>
      </rPr>
      <t>On completion of the works, appoint professional cleaners clean all areas complete leaving clean, tidy and in full working order.  Remove all dirt, debris and splashes etc. from all surfaces leaving the area entirely fit for use and to the satisfaction of the CA.</t>
    </r>
  </si>
  <si>
    <r>
      <rPr>
        <b/>
        <sz val="9"/>
        <rFont val="Arial"/>
        <family val="2"/>
      </rPr>
      <t>Contingency</t>
    </r>
  </si>
  <si>
    <r>
      <rPr>
        <sz val="9"/>
        <rFont val="Arial"/>
        <family val="2"/>
      </rPr>
      <t>Allow the Contingency sum of £15,000.00 to be used as directed by the Contract administrator for additional and unforeseen works as required.</t>
    </r>
  </si>
  <si>
    <r>
      <rPr>
        <b/>
        <sz val="9"/>
        <rFont val="Arial"/>
        <family val="2"/>
      </rPr>
      <t>TOTAL</t>
    </r>
  </si>
  <si>
    <t>£</t>
  </si>
  <si>
    <t>Revision</t>
  </si>
  <si>
    <t xml:space="preserve">Date </t>
  </si>
  <si>
    <t>RATE BUILD UP</t>
  </si>
  <si>
    <t>Labour</t>
  </si>
  <si>
    <t>Minimum wage is £7.20/hr</t>
  </si>
  <si>
    <t>Materials</t>
  </si>
  <si>
    <t>Plant/Consumables</t>
  </si>
  <si>
    <t>Large plant items price in prelims</t>
  </si>
  <si>
    <t>Overheads</t>
  </si>
  <si>
    <t>Profit</t>
  </si>
  <si>
    <t>Total Rate</t>
  </si>
  <si>
    <t>Comments</t>
  </si>
  <si>
    <t>Quant</t>
  </si>
  <si>
    <t>unit</t>
  </si>
  <si>
    <t>Rate</t>
  </si>
  <si>
    <t>Add/omit</t>
  </si>
  <si>
    <t>Spread across total rates</t>
  </si>
  <si>
    <t>C</t>
  </si>
  <si>
    <t>D</t>
  </si>
  <si>
    <t>E</t>
  </si>
  <si>
    <t>F</t>
  </si>
  <si>
    <t>Labour Type 1</t>
  </si>
  <si>
    <t>Labour Rate £/Hr</t>
  </si>
  <si>
    <t>Time per rate</t>
  </si>
  <si>
    <t>Gang Number</t>
  </si>
  <si>
    <t>Labour Type 2</t>
  </si>
  <si>
    <t>Labour Constant</t>
  </si>
  <si>
    <t>Unit Of Measure</t>
  </si>
  <si>
    <t>NPO</t>
  </si>
  <si>
    <t>Distribute allowance</t>
  </si>
  <si>
    <t>Uplift for constraints</t>
  </si>
  <si>
    <t xml:space="preserve">Total Labour </t>
  </si>
  <si>
    <t>MAT 1</t>
  </si>
  <si>
    <t>Cost per unit</t>
  </si>
  <si>
    <t>MAT 2</t>
  </si>
  <si>
    <t>MAT 3</t>
  </si>
  <si>
    <t xml:space="preserve">Waste </t>
  </si>
  <si>
    <t>Deliveries</t>
  </si>
  <si>
    <t>Waste disposal</t>
  </si>
  <si>
    <t>Total Mats Rate</t>
  </si>
  <si>
    <t>Plant item</t>
  </si>
  <si>
    <t>Number of items</t>
  </si>
  <si>
    <t>Buy/Hire ?</t>
  </si>
  <si>
    <t>Maintainance</t>
  </si>
  <si>
    <t>Insurance</t>
  </si>
  <si>
    <t>Total</t>
  </si>
  <si>
    <t xml:space="preserve">Preliminaries: </t>
  </si>
  <si>
    <t>weeks</t>
  </si>
  <si>
    <t>Preliminary Items</t>
  </si>
  <si>
    <t>Rate/ Week</t>
  </si>
  <si>
    <t>%</t>
  </si>
  <si>
    <t>No. Req'd</t>
  </si>
  <si>
    <t>Weeks/No</t>
  </si>
  <si>
    <t>Total / Week</t>
  </si>
  <si>
    <t>1. Staff</t>
  </si>
  <si>
    <t>Construction Manager (Visiting)</t>
  </si>
  <si>
    <t>Non-Working Project Managers (Project Based)</t>
  </si>
  <si>
    <t>Surveyor (Visiting)</t>
  </si>
  <si>
    <t>Procurement / Ordering Materials</t>
  </si>
  <si>
    <t>INCLUDED</t>
  </si>
  <si>
    <t>Part Working Foremen (Project Based) - Setting out/ labour supervision/ deliveries etc</t>
  </si>
  <si>
    <t>Store &amp; Logistics (Project Based)</t>
  </si>
  <si>
    <t>EXCLUDED</t>
  </si>
  <si>
    <t>Programmer (Off Site)</t>
  </si>
  <si>
    <t>Design Manager (Off Site)</t>
  </si>
  <si>
    <t>Engineering Assistant</t>
  </si>
  <si>
    <t>Chain Boy</t>
  </si>
  <si>
    <t>Labour to load out (Horizontal)</t>
  </si>
  <si>
    <t>First Aiders Allowance</t>
  </si>
  <si>
    <t>H &amp; S Consultant</t>
  </si>
  <si>
    <t>Van + Fuel</t>
  </si>
  <si>
    <t>Engineering</t>
  </si>
  <si>
    <t>Banksman / Slinger (Part Time)</t>
  </si>
  <si>
    <t xml:space="preserve"> Admin office/ Surveying Assistance</t>
  </si>
  <si>
    <t>2. Accomodation</t>
  </si>
  <si>
    <t>Site Office / s</t>
  </si>
  <si>
    <t>Storage Container /s</t>
  </si>
  <si>
    <t>Computer /s &amp; Consumables</t>
  </si>
  <si>
    <t>Phone</t>
  </si>
  <si>
    <t>Internet</t>
  </si>
  <si>
    <t>Portaloos</t>
  </si>
  <si>
    <t>Generator and fuel</t>
  </si>
  <si>
    <t>Set up &amp; Dismantle</t>
  </si>
  <si>
    <t>3. Plant</t>
  </si>
  <si>
    <t>Forklift, driver, diesel &amp; bowser</t>
  </si>
  <si>
    <t>Whacker plate</t>
  </si>
  <si>
    <t>Consumables</t>
  </si>
  <si>
    <t>Mixer</t>
  </si>
  <si>
    <t>Wheelbarrows</t>
  </si>
  <si>
    <t>Barriers/Heras with feet (batch of 15 panels)</t>
  </si>
  <si>
    <t>Drills</t>
  </si>
  <si>
    <t>Grinders</t>
  </si>
  <si>
    <t>Breakers</t>
  </si>
  <si>
    <t>Leads</t>
  </si>
  <si>
    <t>Task Lights</t>
  </si>
  <si>
    <t>Engineers levels</t>
  </si>
  <si>
    <t>Traffic signage</t>
  </si>
  <si>
    <t>Radios</t>
  </si>
  <si>
    <t xml:space="preserve">4. Access </t>
  </si>
  <si>
    <t>Scaffold</t>
  </si>
  <si>
    <t>Safestand</t>
  </si>
  <si>
    <t>Podium Steps</t>
  </si>
  <si>
    <t>Scissors Lift / Cherry Picker</t>
  </si>
  <si>
    <t>Mobile Towers</t>
  </si>
  <si>
    <t>5. Rubbish</t>
  </si>
  <si>
    <t>Skips</t>
  </si>
  <si>
    <t>Trolley bins</t>
  </si>
  <si>
    <t>Labour to clear rubbish and clean</t>
  </si>
  <si>
    <t>6. Other</t>
  </si>
  <si>
    <t>Protection Generally</t>
  </si>
  <si>
    <t>Insurance for works</t>
  </si>
  <si>
    <t>PPE</t>
  </si>
  <si>
    <t>H&amp;S file</t>
  </si>
  <si>
    <t>Mock Ups ( As built sample)</t>
  </si>
  <si>
    <t>Final Clean</t>
  </si>
  <si>
    <t>QA</t>
  </si>
  <si>
    <t>O &amp; M Manuals</t>
  </si>
  <si>
    <t>Engineering  / Temp Works Design</t>
  </si>
  <si>
    <t>Drawing Production</t>
  </si>
  <si>
    <t>Liasing with residents - leaflets, signage, calls</t>
  </si>
  <si>
    <t>Signage</t>
  </si>
  <si>
    <t>Van and fuel</t>
  </si>
  <si>
    <t>10% Performance Bond</t>
  </si>
  <si>
    <t>Survey Cost</t>
  </si>
  <si>
    <t>Project description</t>
  </si>
  <si>
    <t>Schedule of Daywork Rates</t>
  </si>
  <si>
    <t>BoQ</t>
  </si>
  <si>
    <t>Supplier</t>
  </si>
  <si>
    <t>Description</t>
  </si>
  <si>
    <t>A</t>
  </si>
  <si>
    <t>B</t>
  </si>
  <si>
    <t>Daywork Rates</t>
  </si>
  <si>
    <t>Manager/Supervisor - £350</t>
  </si>
  <si>
    <t>Quantity Surveyor - £320</t>
  </si>
  <si>
    <t>Planner - £310</t>
  </si>
  <si>
    <t>Tiler - £250</t>
  </si>
  <si>
    <t>Carpenter - £270</t>
  </si>
  <si>
    <t>Labourer - £140</t>
  </si>
  <si>
    <t>Brickworker - £260</t>
  </si>
  <si>
    <t>Groundworker - £260</t>
  </si>
  <si>
    <t>Machine Driver - £280</t>
  </si>
  <si>
    <t>Non Productive working:</t>
  </si>
  <si>
    <t xml:space="preserve">Saturday 8am to 5pm 150% </t>
  </si>
  <si>
    <t xml:space="preserve">Sunday 8am to 4pm 200% </t>
  </si>
  <si>
    <t>Note: Labour rates exclude Supervision</t>
  </si>
  <si>
    <t xml:space="preserve">Plant cost  + 15% </t>
  </si>
  <si>
    <t>Subcontractors cost + 20%</t>
  </si>
  <si>
    <t xml:space="preserve">Materials cost + 15% </t>
  </si>
  <si>
    <t>Clarifications</t>
  </si>
  <si>
    <t>Programme Implications</t>
  </si>
  <si>
    <t>Sub Total measured works</t>
  </si>
  <si>
    <t>Total Value    £</t>
  </si>
  <si>
    <t>Specifications</t>
  </si>
  <si>
    <t>Schedule of works</t>
  </si>
  <si>
    <t>2.0 Enabling works</t>
  </si>
  <si>
    <t>2.1 Asbestos</t>
  </si>
  <si>
    <t>3.0 Site set up</t>
  </si>
  <si>
    <t>BUTTERFLY ROOF</t>
  </si>
  <si>
    <t>4.0 ROOF EXTENSION</t>
  </si>
  <si>
    <t>5.0 Rainwater Goods</t>
  </si>
  <si>
    <t>6.0 Surface water drains - provisional</t>
  </si>
  <si>
    <t>EXISTING ELEVATIONS</t>
  </si>
  <si>
    <t>7.0 Cleaning brickwork</t>
  </si>
  <si>
    <t>8.0 Brickwork repairs</t>
  </si>
  <si>
    <t>9.0 Rear flat roofs</t>
  </si>
  <si>
    <t>10.0 Windows</t>
  </si>
  <si>
    <t>11.0 External door</t>
  </si>
  <si>
    <t>12.0 Landscape</t>
  </si>
  <si>
    <t>13.0 External Decorations</t>
  </si>
  <si>
    <t>14.0 Cleaning</t>
  </si>
  <si>
    <t>INTERNAL REFURBISHMENT</t>
  </si>
  <si>
    <t>15.0 Demolition/ Strip out</t>
  </si>
  <si>
    <t>16.0 Structural works</t>
  </si>
  <si>
    <t>17.0 Stairs</t>
  </si>
  <si>
    <t>18.0 Walls</t>
  </si>
  <si>
    <t>19.0 Plaster skim coat</t>
  </si>
  <si>
    <t>20.0 New Kitchens</t>
  </si>
  <si>
    <t>21.0 Bathrooms</t>
  </si>
  <si>
    <t>22.0 Internal Joinery</t>
  </si>
  <si>
    <t>23.0 Floor finishes</t>
  </si>
  <si>
    <t>24.0 Internal Decorations</t>
  </si>
  <si>
    <t>25.0 Window blinds</t>
  </si>
  <si>
    <t>27.0 Utility Supplies</t>
  </si>
  <si>
    <t>28.0 Electrical Installations</t>
  </si>
  <si>
    <t>29.0 Gas supply</t>
  </si>
  <si>
    <t>30.0 Central Heating</t>
  </si>
  <si>
    <t>31.0 Cold water distribution</t>
  </si>
  <si>
    <t>32.0 Hot water distribution</t>
  </si>
  <si>
    <t>33.0 Drainage</t>
  </si>
  <si>
    <t>34.0 Builders work in connection services.</t>
  </si>
  <si>
    <t>35.0 Under ground drains</t>
  </si>
  <si>
    <t>36.0 Cleaning</t>
  </si>
  <si>
    <t>37.0 Contingency £15,000</t>
  </si>
  <si>
    <t>Collection</t>
  </si>
  <si>
    <t>TOTAL CONTRACT SUM</t>
  </si>
  <si>
    <t>Summary page</t>
  </si>
  <si>
    <t>Exclusions and Clarifications</t>
  </si>
  <si>
    <t>95 Malvern Road</t>
  </si>
  <si>
    <t>upper ground floor</t>
  </si>
  <si>
    <t>first floor</t>
  </si>
  <si>
    <t>second floor</t>
  </si>
  <si>
    <t>bed 1</t>
  </si>
  <si>
    <t>bed 2</t>
  </si>
  <si>
    <t>bath 1</t>
  </si>
  <si>
    <t>bath 2</t>
  </si>
  <si>
    <t>kitchen/lounge</t>
  </si>
  <si>
    <t>hallway</t>
  </si>
  <si>
    <t>cupboard</t>
  </si>
  <si>
    <t>stairwell</t>
  </si>
  <si>
    <t>bed</t>
  </si>
  <si>
    <t>bath</t>
  </si>
  <si>
    <t>lounge</t>
  </si>
  <si>
    <t>kitchen</t>
  </si>
  <si>
    <t>m2</t>
  </si>
  <si>
    <t>walls</t>
  </si>
  <si>
    <t>ceiling</t>
  </si>
  <si>
    <t>perimeter</t>
  </si>
  <si>
    <t>lm</t>
  </si>
  <si>
    <t>length</t>
  </si>
  <si>
    <t>width</t>
  </si>
  <si>
    <t>floor</t>
  </si>
  <si>
    <t>high</t>
  </si>
  <si>
    <t>m</t>
  </si>
  <si>
    <t>doors</t>
  </si>
  <si>
    <t>windows</t>
  </si>
  <si>
    <t>fans</t>
  </si>
  <si>
    <t>bath suite</t>
  </si>
  <si>
    <t>size</t>
  </si>
  <si>
    <t>rads</t>
  </si>
  <si>
    <t>CU</t>
  </si>
  <si>
    <t>main hallway</t>
  </si>
  <si>
    <t>boiler</t>
  </si>
  <si>
    <t>No allowance for LGF made (internal and external)</t>
  </si>
  <si>
    <t>Asbestos dealt with under below provisional sum</t>
  </si>
  <si>
    <t>PS</t>
  </si>
  <si>
    <t>PQ</t>
  </si>
  <si>
    <t>26.0 MECHANICAL, ELECTRICAL, WATER DISTRIBUTION &amp; DRAINAGE</t>
  </si>
  <si>
    <t>Preliminaries</t>
  </si>
  <si>
    <t>Contractor to provide all materials, labour and expertise to provisionally erect a temporary roof to cover 95 Malvern Road, London, NW6 5PU completely while the roof works are undertaken.</t>
  </si>
  <si>
    <t>P.S allowed to encapsulate/ remove asbestos containing materials.</t>
  </si>
  <si>
    <t>general labour plus 20 yard skip</t>
  </si>
  <si>
    <t>Inc</t>
  </si>
  <si>
    <t>c24  50x220</t>
  </si>
  <si>
    <t>hangers</t>
  </si>
  <si>
    <t>no</t>
  </si>
  <si>
    <t>fixings</t>
  </si>
  <si>
    <t>carp</t>
  </si>
  <si>
    <t>c16  50x125</t>
  </si>
  <si>
    <t>pir board</t>
  </si>
  <si>
    <t>sheets</t>
  </si>
  <si>
    <t>clips</t>
  </si>
  <si>
    <t>50mm insulated plasterboard</t>
  </si>
  <si>
    <t>carp/roofer</t>
  </si>
  <si>
    <t>rolls vcl</t>
  </si>
  <si>
    <t>rolls</t>
  </si>
  <si>
    <t>On top of new rafters, supply and install Klober 'Permo Forte' vapour permeable roof tile underlay, installed strictly in accordance with manufacturer's instructions.  Sealed membrane to eaves carrier trim, in turn dressing to gutter.  Allow for laps to be minimum 150mm horizontal and 100mm vertical centres with taped joints.  At eaves detail on fascia, allow to lay Ruberoid HD150 under felt on a tilting timber fillet.  Include for all details around penetrations.</t>
  </si>
  <si>
    <t>fillets</t>
  </si>
  <si>
    <t>tape</t>
  </si>
  <si>
    <t>inc eaves vents @ 40lm</t>
  </si>
  <si>
    <t>2 NO ALLOWED</t>
  </si>
  <si>
    <t>LM</t>
  </si>
  <si>
    <t>Provisionally provide all materials, labour and expertise and carefully install 2 new Fakro Conservation Double Glazed Top Hung Light to sizes shown on drawings, trimmed with double joists in accordance with contract drawings and manufacturers’ recommendations.</t>
  </si>
  <si>
    <t>Inc above</t>
  </si>
  <si>
    <t>Contractor to provisionally allow to supply and install new proprietary polyprothene inspection chambers 450mm diameter - position to be determined.</t>
  </si>
  <si>
    <t>Inc in PS</t>
  </si>
  <si>
    <t>Backfill with pea shingle and form 225mm concrete collar flush with ground. Provide and fit cast iron covers and frames.</t>
  </si>
  <si>
    <t>From new down pipes, supply and install new drainage gulleys and thereafter, excavate below ground and supply and lay new surface water drains in PVC laid to minimum 1 in 60 fall and connect into new inspection chamber and thereafter existing surface water sewer, laid on and surrounded in pea shingle.</t>
  </si>
  <si>
    <t>M2</t>
  </si>
  <si>
    <t>BRICKS</t>
  </si>
  <si>
    <t>Where cracks are present to masonry, contractor to rake out mortar at 450mm vertical spaces, clean and prime slots in mortar beds and bond and bed Helibar, minimum of 500mm each side of crack.  Re-point and finish with mortar to match existing.  Contractor to provide a Provisional Sum for installation of 25No. Helibars on a piecemeal basis all in accordance with manufacturers recommendations.</t>
  </si>
  <si>
    <t>Allow a provisional sum of £500 to repair render to side elevation as directed by C.A.</t>
  </si>
  <si>
    <t>Allow a provisional sum of £2,000 to repair to repair 2 flats roofs to rear elevation as directed by C.A.</t>
  </si>
  <si>
    <t>WINDOWS</t>
  </si>
  <si>
    <t xml:space="preserve">Inc </t>
  </si>
  <si>
    <t>Provisional sum of £500 for repairs to existing external doors to be expended as directed by C.A.</t>
  </si>
  <si>
    <t>Provisional sum of £10,000 for landscaping works to be expended as directed by C.A.</t>
  </si>
  <si>
    <t>In locations shown in attached drawing "Conditions 1", contractor to provide all materials, labour and expertise to supply and install 5No. Single Bike Locker-1 Bike Storage.</t>
  </si>
  <si>
    <t>skip</t>
  </si>
  <si>
    <t>labour</t>
  </si>
  <si>
    <t>steelwork</t>
  </si>
  <si>
    <t>kg/m</t>
  </si>
  <si>
    <t>2 parking bay suspensions</t>
  </si>
  <si>
    <t>pads</t>
  </si>
  <si>
    <t>Splice/Connc</t>
  </si>
  <si>
    <t>t1</t>
  </si>
  <si>
    <t>t2</t>
  </si>
  <si>
    <t>t3</t>
  </si>
  <si>
    <t>t4</t>
  </si>
  <si>
    <t>t5</t>
  </si>
  <si>
    <t>t6</t>
  </si>
  <si>
    <t>t7</t>
  </si>
  <si>
    <t>b1</t>
  </si>
  <si>
    <t>b2</t>
  </si>
  <si>
    <t>l1</t>
  </si>
  <si>
    <t>rb1</t>
  </si>
  <si>
    <t>rb2</t>
  </si>
  <si>
    <t>rb3</t>
  </si>
  <si>
    <t>posts</t>
  </si>
  <si>
    <t>T</t>
  </si>
  <si>
    <t>Steel</t>
  </si>
  <si>
    <t>splice</t>
  </si>
  <si>
    <t>Props</t>
  </si>
  <si>
    <t>Genie</t>
  </si>
  <si>
    <t>We have not allowed to upgrade the existing utility incoming supplies. You may want to do this before works begin.</t>
  </si>
  <si>
    <t>We exclude any design responsibility for these works.</t>
  </si>
  <si>
    <t>20m2</t>
  </si>
  <si>
    <t>60m2</t>
  </si>
  <si>
    <t>50m2</t>
  </si>
  <si>
    <t>100m2</t>
  </si>
  <si>
    <t>£150/m</t>
  </si>
  <si>
    <t>Inc in prov sum</t>
  </si>
  <si>
    <t>21m2</t>
  </si>
  <si>
    <t>x</t>
  </si>
  <si>
    <t>30m2</t>
  </si>
  <si>
    <t>linings</t>
  </si>
  <si>
    <t>FD30</t>
  </si>
  <si>
    <t>3m2</t>
  </si>
  <si>
    <t>40m2</t>
  </si>
  <si>
    <t>12 windows</t>
  </si>
  <si>
    <t>Excluded - no design allowed</t>
  </si>
  <si>
    <t>Exc</t>
  </si>
  <si>
    <t>By others</t>
  </si>
  <si>
    <t>Excluded</t>
  </si>
  <si>
    <t>Allow a provisional sum of £250 for installation of new communal Ariel.</t>
  </si>
  <si>
    <t>24 rads</t>
  </si>
  <si>
    <t>Allow the provisional sum of £1,000.00 to be used by the Contract Administrator for repairs to underground drainage installation to facilitate new drainage systems etc.</t>
  </si>
  <si>
    <t>Full external scaffold @ 2m lifts - provisional sum</t>
  </si>
  <si>
    <t>External scaffold included on summary sheet are provisional sum</t>
  </si>
  <si>
    <r>
      <rPr>
        <b/>
        <sz val="9"/>
        <color rgb="FFFF0000"/>
        <rFont val="Arial"/>
        <family val="2"/>
      </rPr>
      <t>Allow the provisional sum of £30,000 (£10,000 per flat) to be used as directed by the Contract Administrator to supply and install new kitchen, including white goods. Allow for extract fan, electric oven and
hob pack within integrated installation, ladder unit with integrated fridge freezer, dishwasher and washing machine.</t>
    </r>
  </si>
  <si>
    <t>Allow the provisional sum of £13,500 (£4,500 per flat) to be used as directed by the Contract Administrator for the supply and installation of new bathroom fittings.</t>
  </si>
  <si>
    <t>We require a lead in to commence on site of 6 weeks. This excludes any third party approvals.</t>
  </si>
  <si>
    <t>We assume any party wall awards will be granted before we commence works. We do not take responsibility of the condition of existing structures or dealing with 3rd party walls</t>
  </si>
  <si>
    <t>We have allowed for the works to be completed in one continuous visit</t>
  </si>
  <si>
    <t>Any changes to the agreed works made by the client may result in additional costs</t>
  </si>
  <si>
    <t>We require payment every 2 weeks. We will submit valuation every 2 weeks. We request 0% retention is held on every payment. Price excludes VAT</t>
  </si>
  <si>
    <t>All provisional sums included are client provisional sums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</si>
</sst>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quot;£&quot;* #,##0.00_-;_-&quot;£&quot;* &quot;-&quot;??_-;_-@_-"/>
    <numFmt numFmtId="43" formatCode="_-* #,##0.00_-;\-* #,##0.00_-;_-* &quot;-&quot;??_-;_-@_-"/>
    <numFmt numFmtId="164" formatCode="###0;###0"/>
    <numFmt numFmtId="165" formatCode="###0.0;###0.0"/>
    <numFmt numFmtId="166" formatCode="###0.00;###0.00"/>
    <numFmt numFmtId="167" formatCode="\£#,##0.00;\£#,##0.00"/>
    <numFmt numFmtId="168" formatCode="\£###0.00;\£###0.00"/>
    <numFmt numFmtId="169" formatCode="\£#,##0;\£#,##0"/>
    <numFmt numFmtId="170" formatCode="\£###0;\£###0"/>
    <numFmt numFmtId="171" formatCode="#,###;[Red]\(#,###\)"/>
    <numFmt numFmtId="172" formatCode="&quot;£&quot;#,##0.00"/>
    <numFmt numFmtId="173" formatCode="_-* #,##0_-;\-* #,##0_-;_-* &quot;-&quot;??_-;_-@_-"/>
    <numFmt numFmtId="174" formatCode="_-&quot;£&quot;* #,##0_-;\-&quot;£&quot;* #,##0_-;_-&quot;£&quot;* &quot;-&quot;??_-;_-@_-"/>
    <numFmt numFmtId="175" formatCode="0.0"/>
  </numFmts>
  <fonts count="51" x14ac:knownFonts="1">
    <font>
      <sz val="10"/>
      <color rgb="FF000000"/>
      <name val="Times New Roman"/>
      <charset val="204"/>
    </font>
    <font>
      <sz val="11"/>
      <color theme="1"/>
      <name val="Calibri"/>
      <family val="2"/>
      <scheme val="minor"/>
    </font>
    <font>
      <b/>
      <sz val="12"/>
      <name val="Arial"/>
    </font>
    <font>
      <b/>
      <sz val="9"/>
      <name val="Arial"/>
    </font>
    <font>
      <b/>
      <sz val="9"/>
      <color rgb="FF000000"/>
      <name val="Arial"/>
      <family val="2"/>
    </font>
    <font>
      <b/>
      <i/>
      <sz val="9"/>
      <name val="Arial"/>
    </font>
    <font>
      <sz val="9"/>
      <name val="Arial"/>
    </font>
    <font>
      <b/>
      <sz val="8"/>
      <name val="Arial"/>
    </font>
    <font>
      <b/>
      <i/>
      <sz val="9"/>
      <color rgb="FF000000"/>
      <name val="Arial"/>
      <family val="2"/>
    </font>
    <font>
      <b/>
      <sz val="12"/>
      <name val="Arial"/>
      <family val="2"/>
    </font>
    <font>
      <b/>
      <sz val="9"/>
      <name val="Arial"/>
      <family val="2"/>
    </font>
    <font>
      <b/>
      <i/>
      <sz val="9"/>
      <name val="Arial"/>
      <family val="2"/>
    </font>
    <font>
      <sz val="9"/>
      <name val="Arial"/>
      <family val="2"/>
    </font>
    <font>
      <b/>
      <i/>
      <sz val="10"/>
      <name val="Arial"/>
      <family val="2"/>
    </font>
    <font>
      <sz val="10"/>
      <color rgb="FF000000"/>
      <name val="Times New Roman"/>
      <charset val="204"/>
    </font>
    <font>
      <sz val="10"/>
      <name val="Calibri"/>
      <family val="2"/>
      <scheme val="minor"/>
    </font>
    <font>
      <b/>
      <sz val="10"/>
      <name val="Calibri"/>
      <family val="2"/>
      <scheme val="minor"/>
    </font>
    <font>
      <b/>
      <u/>
      <sz val="10"/>
      <name val="Arial"/>
      <family val="2"/>
    </font>
    <font>
      <sz val="10"/>
      <name val="Arial"/>
      <family val="2"/>
    </font>
    <font>
      <b/>
      <u/>
      <sz val="11"/>
      <name val="Arial"/>
      <family val="2"/>
    </font>
    <font>
      <b/>
      <sz val="10"/>
      <name val="Arial"/>
      <family val="2"/>
    </font>
    <font>
      <i/>
      <sz val="10"/>
      <name val="Arial"/>
      <family val="2"/>
    </font>
    <font>
      <sz val="10"/>
      <color theme="1"/>
      <name val="Calibri"/>
      <family val="2"/>
      <scheme val="minor"/>
    </font>
    <font>
      <sz val="10"/>
      <color rgb="FFFF0000"/>
      <name val="Calibri"/>
      <family val="2"/>
      <scheme val="minor"/>
    </font>
    <font>
      <sz val="10"/>
      <color indexed="10"/>
      <name val="Calibri"/>
      <family val="2"/>
      <scheme val="minor"/>
    </font>
    <font>
      <sz val="10"/>
      <name val="Arial"/>
    </font>
    <font>
      <sz val="16"/>
      <name val="Verdana"/>
      <family val="2"/>
    </font>
    <font>
      <b/>
      <u/>
      <sz val="16"/>
      <name val="Verdana"/>
      <family val="2"/>
    </font>
    <font>
      <u/>
      <sz val="16"/>
      <name val="Verdana"/>
      <family val="2"/>
    </font>
    <font>
      <sz val="10"/>
      <name val="Verdana"/>
      <family val="2"/>
    </font>
    <font>
      <b/>
      <sz val="16"/>
      <name val="Verdana"/>
      <family val="2"/>
    </font>
    <font>
      <sz val="11"/>
      <name val="Verdana"/>
      <family val="2"/>
    </font>
    <font>
      <b/>
      <sz val="11"/>
      <name val="Verdana"/>
      <family val="2"/>
    </font>
    <font>
      <sz val="11"/>
      <color indexed="55"/>
      <name val="Verdana"/>
      <family val="2"/>
    </font>
    <font>
      <sz val="11"/>
      <color theme="1"/>
      <name val="Verdana"/>
      <family val="2"/>
    </font>
    <font>
      <sz val="11"/>
      <color rgb="FF969696"/>
      <name val="Verdana"/>
      <family val="2"/>
    </font>
    <font>
      <i/>
      <sz val="11"/>
      <color indexed="55"/>
      <name val="Verdana"/>
      <family val="2"/>
    </font>
    <font>
      <b/>
      <sz val="11"/>
      <name val="Calibri"/>
      <family val="2"/>
      <scheme val="minor"/>
    </font>
    <font>
      <b/>
      <sz val="10"/>
      <color rgb="FFFF0000"/>
      <name val="Calibri"/>
      <family val="2"/>
      <scheme val="minor"/>
    </font>
    <font>
      <b/>
      <u/>
      <sz val="11"/>
      <name val="Calibri"/>
      <family val="2"/>
      <scheme val="minor"/>
    </font>
    <font>
      <sz val="11"/>
      <name val="Calibri"/>
      <family val="2"/>
      <scheme val="minor"/>
    </font>
    <font>
      <b/>
      <u/>
      <sz val="10"/>
      <name val="Calibri"/>
      <family val="2"/>
      <scheme val="minor"/>
    </font>
    <font>
      <b/>
      <sz val="10"/>
      <color rgb="FF000000"/>
      <name val="Times New Roman"/>
      <family val="1"/>
    </font>
    <font>
      <b/>
      <i/>
      <u/>
      <sz val="9"/>
      <name val="Arial"/>
      <family val="2"/>
    </font>
    <font>
      <sz val="10"/>
      <color rgb="FF000000"/>
      <name val="Times New Roman"/>
      <family val="1"/>
    </font>
    <font>
      <sz val="10"/>
      <color rgb="FF000000"/>
      <name val="Arial"/>
      <family val="2"/>
    </font>
    <font>
      <b/>
      <u/>
      <sz val="10"/>
      <color rgb="FF000000"/>
      <name val="Arial"/>
      <family val="2"/>
    </font>
    <font>
      <b/>
      <i/>
      <sz val="9"/>
      <color rgb="FFFF0000"/>
      <name val="Arial"/>
      <family val="2"/>
    </font>
    <font>
      <b/>
      <sz val="9"/>
      <color rgb="FFFF0000"/>
      <name val="Arial"/>
      <family val="2"/>
    </font>
    <font>
      <sz val="9"/>
      <color rgb="FF000000"/>
      <name val="Arial"/>
      <family val="2"/>
    </font>
    <font>
      <b/>
      <sz val="10"/>
      <color rgb="FFFF0000"/>
      <name val="Times New Roman"/>
      <family val="1"/>
    </font>
  </fonts>
  <fills count="14">
    <fill>
      <patternFill patternType="none"/>
    </fill>
    <fill>
      <patternFill patternType="gray125"/>
    </fill>
    <fill>
      <patternFill patternType="solid">
        <fgColor rgb="FFC00000"/>
      </patternFill>
    </fill>
    <fill>
      <patternFill patternType="solid">
        <fgColor indexed="43"/>
        <bgColor indexed="64"/>
      </patternFill>
    </fill>
    <fill>
      <patternFill patternType="solid">
        <fgColor indexed="22"/>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2" tint="-9.9978637043366805E-2"/>
        <bgColor indexed="64"/>
      </patternFill>
    </fill>
    <fill>
      <patternFill patternType="solid">
        <fgColor rgb="FFFF0000"/>
        <bgColor indexed="64"/>
      </patternFill>
    </fill>
    <fill>
      <patternFill patternType="solid">
        <fgColor theme="0" tint="-0.249977111117893"/>
        <bgColor indexed="64"/>
      </patternFill>
    </fill>
    <fill>
      <patternFill patternType="solid">
        <fgColor indexed="42"/>
        <bgColor indexed="64"/>
      </patternFill>
    </fill>
    <fill>
      <patternFill patternType="solid">
        <fgColor theme="3" tint="0.79998168889431442"/>
        <bgColor indexed="64"/>
      </patternFill>
    </fill>
    <fill>
      <patternFill patternType="solid">
        <fgColor rgb="FFFFFF00"/>
        <bgColor indexed="64"/>
      </patternFill>
    </fill>
  </fills>
  <borders count="7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medium">
        <color indexed="64"/>
      </bottom>
      <diagonal/>
    </border>
    <border>
      <left/>
      <right style="thin">
        <color indexed="64"/>
      </right>
      <top/>
      <bottom/>
      <diagonal/>
    </border>
    <border>
      <left style="thin">
        <color indexed="64"/>
      </left>
      <right style="medium">
        <color indexed="64"/>
      </right>
      <top/>
      <bottom/>
      <diagonal/>
    </border>
    <border>
      <left style="thin">
        <color indexed="64"/>
      </left>
      <right style="thin">
        <color indexed="64"/>
      </right>
      <top/>
      <bottom/>
      <diagonal/>
    </border>
    <border>
      <left style="medium">
        <color indexed="64"/>
      </left>
      <right/>
      <top style="medium">
        <color indexed="64"/>
      </top>
      <bottom/>
      <diagonal/>
    </border>
    <border>
      <left style="medium">
        <color indexed="64"/>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right/>
      <top/>
      <bottom style="thin">
        <color indexed="22"/>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right/>
      <top style="thin">
        <color indexed="22"/>
      </top>
      <bottom style="thin">
        <color indexed="22"/>
      </bottom>
      <diagonal/>
    </border>
    <border>
      <left/>
      <right/>
      <top style="thin">
        <color indexed="22"/>
      </top>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bottom style="medium">
        <color indexed="64"/>
      </bottom>
      <diagonal/>
    </border>
    <border>
      <left style="thin">
        <color indexed="64"/>
      </left>
      <right/>
      <top style="medium">
        <color indexed="64"/>
      </top>
      <bottom/>
      <diagonal/>
    </border>
    <border>
      <left style="medium">
        <color indexed="64"/>
      </left>
      <right style="thin">
        <color indexed="64"/>
      </right>
      <top/>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s>
  <cellStyleXfs count="10">
    <xf numFmtId="0" fontId="0" fillId="0" borderId="0"/>
    <xf numFmtId="43" fontId="14" fillId="0" borderId="0" applyFont="0" applyFill="0" applyBorder="0" applyAlignment="0" applyProtection="0"/>
    <xf numFmtId="44" fontId="14" fillId="0" borderId="0" applyFont="0" applyFill="0" applyBorder="0" applyAlignment="0" applyProtection="0"/>
    <xf numFmtId="9" fontId="14" fillId="0" borderId="0" applyFont="0" applyFill="0" applyBorder="0" applyAlignment="0" applyProtection="0"/>
    <xf numFmtId="0" fontId="1" fillId="0" borderId="0"/>
    <xf numFmtId="0" fontId="25" fillId="0" borderId="0"/>
    <xf numFmtId="44" fontId="18" fillId="0" borderId="0" applyFont="0" applyFill="0" applyBorder="0" applyAlignment="0" applyProtection="0"/>
    <xf numFmtId="9" fontId="18" fillId="0" borderId="0" applyFont="0" applyFill="0" applyBorder="0" applyAlignment="0" applyProtection="0"/>
    <xf numFmtId="0" fontId="18" fillId="0" borderId="0"/>
    <xf numFmtId="43" fontId="18" fillId="0" borderId="0" applyFont="0" applyFill="0" applyBorder="0" applyAlignment="0" applyProtection="0"/>
  </cellStyleXfs>
  <cellXfs count="464">
    <xf numFmtId="0" fontId="0" fillId="0" borderId="0" xfId="0" applyFill="1" applyBorder="1" applyAlignment="1">
      <alignment horizontal="left" vertical="top"/>
    </xf>
    <xf numFmtId="0" fontId="0" fillId="0" borderId="1" xfId="0" applyFill="1" applyBorder="1" applyAlignment="1">
      <alignment horizontal="left" vertical="top" wrapText="1"/>
    </xf>
    <xf numFmtId="0" fontId="3" fillId="2" borderId="1" xfId="0" applyFont="1" applyFill="1" applyBorder="1" applyAlignment="1">
      <alignment horizontal="left" vertical="top" wrapText="1"/>
    </xf>
    <xf numFmtId="0" fontId="3" fillId="2" borderId="1" xfId="0" applyFont="1" applyFill="1" applyBorder="1" applyAlignment="1">
      <alignment horizontal="center" vertical="top" wrapText="1"/>
    </xf>
    <xf numFmtId="164" fontId="4" fillId="0" borderId="1" xfId="0" applyNumberFormat="1" applyFont="1" applyFill="1" applyBorder="1" applyAlignment="1">
      <alignment horizontal="left" vertical="top" wrapText="1"/>
    </xf>
    <xf numFmtId="0" fontId="3" fillId="0" borderId="1" xfId="0" applyFont="1" applyFill="1" applyBorder="1" applyAlignment="1">
      <alignment horizontal="left" vertical="top" wrapText="1"/>
    </xf>
    <xf numFmtId="165" fontId="4" fillId="0" borderId="1" xfId="0" applyNumberFormat="1" applyFont="1" applyFill="1" applyBorder="1" applyAlignment="1">
      <alignment horizontal="left" vertical="top" wrapText="1"/>
    </xf>
    <xf numFmtId="0" fontId="5" fillId="0" borderId="1" xfId="0" applyFont="1" applyFill="1" applyBorder="1" applyAlignment="1">
      <alignment horizontal="left" vertical="top" wrapText="1"/>
    </xf>
    <xf numFmtId="0" fontId="6" fillId="0" borderId="1" xfId="0" applyFont="1" applyFill="1" applyBorder="1" applyAlignment="1">
      <alignment horizontal="left" vertical="top" wrapText="1"/>
    </xf>
    <xf numFmtId="166" fontId="4" fillId="0" borderId="1" xfId="0" applyNumberFormat="1" applyFont="1" applyFill="1" applyBorder="1" applyAlignment="1">
      <alignment horizontal="left" vertical="top" wrapText="1"/>
    </xf>
    <xf numFmtId="165" fontId="8" fillId="0" borderId="1" xfId="0" applyNumberFormat="1" applyFont="1" applyFill="1" applyBorder="1" applyAlignment="1">
      <alignment horizontal="left" vertical="top" wrapText="1"/>
    </xf>
    <xf numFmtId="166" fontId="8" fillId="0" borderId="1" xfId="0" applyNumberFormat="1" applyFont="1" applyFill="1" applyBorder="1" applyAlignment="1">
      <alignment horizontal="left" vertical="top" wrapText="1"/>
    </xf>
    <xf numFmtId="0" fontId="3" fillId="0" borderId="1" xfId="0" applyFont="1" applyFill="1" applyBorder="1" applyAlignment="1">
      <alignment horizontal="right" vertical="top" wrapText="1"/>
    </xf>
    <xf numFmtId="0" fontId="2" fillId="0" borderId="1" xfId="0" applyFont="1" applyFill="1" applyBorder="1" applyAlignment="1">
      <alignment horizontal="center" vertical="top" wrapText="1"/>
    </xf>
    <xf numFmtId="0" fontId="0" fillId="0" borderId="0" xfId="0" applyFill="1" applyBorder="1" applyAlignment="1">
      <alignment horizontal="left" vertical="top" wrapText="1"/>
    </xf>
    <xf numFmtId="0" fontId="0" fillId="2" borderId="0" xfId="0" applyFill="1" applyBorder="1" applyAlignment="1">
      <alignment horizontal="left" vertical="top" wrapText="1"/>
    </xf>
    <xf numFmtId="0" fontId="7" fillId="0" borderId="0" xfId="0" applyFont="1" applyFill="1" applyBorder="1" applyAlignment="1">
      <alignment horizontal="left" vertical="top" wrapText="1"/>
    </xf>
    <xf numFmtId="167" fontId="4" fillId="0" borderId="0" xfId="0" applyNumberFormat="1" applyFont="1" applyFill="1" applyBorder="1" applyAlignment="1">
      <alignment horizontal="left" vertical="top" wrapText="1"/>
    </xf>
    <xf numFmtId="0" fontId="3" fillId="0" borderId="0" xfId="0" applyFont="1" applyFill="1" applyBorder="1" applyAlignment="1">
      <alignment horizontal="left" vertical="top" wrapText="1"/>
    </xf>
    <xf numFmtId="0" fontId="3" fillId="0" borderId="0" xfId="0" applyFont="1" applyFill="1" applyBorder="1" applyAlignment="1">
      <alignment horizontal="left" vertical="center" wrapText="1"/>
    </xf>
    <xf numFmtId="168" fontId="4" fillId="0" borderId="0" xfId="0" applyNumberFormat="1" applyFont="1" applyFill="1" applyBorder="1" applyAlignment="1">
      <alignment horizontal="left" vertical="top" wrapText="1"/>
    </xf>
    <xf numFmtId="169" fontId="4" fillId="0" borderId="0" xfId="0" applyNumberFormat="1" applyFont="1" applyFill="1" applyBorder="1" applyAlignment="1">
      <alignment horizontal="left" vertical="top" wrapText="1"/>
    </xf>
    <xf numFmtId="170" fontId="4" fillId="0" borderId="0" xfId="0" applyNumberFormat="1" applyFont="1" applyFill="1" applyBorder="1" applyAlignment="1">
      <alignment horizontal="left" vertical="top" wrapText="1"/>
    </xf>
    <xf numFmtId="0" fontId="15" fillId="0" borderId="5" xfId="0" applyFont="1" applyBorder="1" applyAlignment="1">
      <alignment vertical="top"/>
    </xf>
    <xf numFmtId="0" fontId="15" fillId="0" borderId="6" xfId="0" applyFont="1" applyBorder="1" applyAlignment="1">
      <alignment vertical="top"/>
    </xf>
    <xf numFmtId="44" fontId="15" fillId="0" borderId="7" xfId="0" applyNumberFormat="1" applyFont="1" applyBorder="1" applyAlignment="1">
      <alignment vertical="top"/>
    </xf>
    <xf numFmtId="0" fontId="16" fillId="3" borderId="8" xfId="0" applyFont="1" applyFill="1" applyBorder="1" applyAlignment="1">
      <alignment horizontal="center" vertical="top"/>
    </xf>
    <xf numFmtId="0" fontId="15" fillId="0" borderId="0" xfId="0" applyFont="1"/>
    <xf numFmtId="2" fontId="15" fillId="0" borderId="0" xfId="0" applyNumberFormat="1" applyFont="1"/>
    <xf numFmtId="0" fontId="15" fillId="0" borderId="0" xfId="0" applyFont="1" applyAlignment="1">
      <alignment horizontal="right"/>
    </xf>
    <xf numFmtId="0" fontId="15" fillId="0" borderId="0" xfId="0" applyFont="1" applyAlignment="1">
      <alignment vertical="top"/>
    </xf>
    <xf numFmtId="44" fontId="15" fillId="0" borderId="7" xfId="0" applyNumberFormat="1" applyFont="1" applyBorder="1" applyAlignment="1">
      <alignment horizontal="left" vertical="top"/>
    </xf>
    <xf numFmtId="15" fontId="15" fillId="0" borderId="7" xfId="0" applyNumberFormat="1" applyFont="1" applyBorder="1" applyAlignment="1">
      <alignment horizontal="center" vertical="top"/>
    </xf>
    <xf numFmtId="0" fontId="17" fillId="0" borderId="0" xfId="0" applyFont="1" applyBorder="1" applyAlignment="1">
      <alignment vertical="top"/>
    </xf>
    <xf numFmtId="0" fontId="18" fillId="0" borderId="0" xfId="0" applyFont="1" applyBorder="1" applyAlignment="1">
      <alignment vertical="top"/>
    </xf>
    <xf numFmtId="0" fontId="18" fillId="0" borderId="9" xfId="0" applyFont="1" applyBorder="1" applyAlignment="1">
      <alignment vertical="top"/>
    </xf>
    <xf numFmtId="44" fontId="15" fillId="0" borderId="0" xfId="0" applyNumberFormat="1" applyFont="1" applyAlignment="1">
      <alignment vertical="top"/>
    </xf>
    <xf numFmtId="0" fontId="19" fillId="0" borderId="0" xfId="0" applyFont="1" applyBorder="1" applyAlignment="1">
      <alignment vertical="top" wrapText="1"/>
    </xf>
    <xf numFmtId="0" fontId="20" fillId="0" borderId="0" xfId="0" applyFont="1" applyBorder="1" applyAlignment="1">
      <alignment vertical="top" wrapText="1"/>
    </xf>
    <xf numFmtId="0" fontId="19" fillId="0" borderId="0" xfId="0" applyFont="1" applyBorder="1" applyAlignment="1">
      <alignment vertical="top"/>
    </xf>
    <xf numFmtId="0" fontId="20" fillId="0" borderId="0" xfId="0" applyFont="1" applyBorder="1" applyAlignment="1">
      <alignment vertical="top"/>
    </xf>
    <xf numFmtId="0" fontId="21" fillId="0" borderId="0" xfId="0" applyFont="1" applyBorder="1" applyAlignment="1">
      <alignment vertical="top"/>
    </xf>
    <xf numFmtId="0" fontId="16" fillId="0" borderId="10" xfId="0" applyFont="1" applyBorder="1" applyAlignment="1">
      <alignment horizontal="center" vertical="top"/>
    </xf>
    <xf numFmtId="44" fontId="16" fillId="0" borderId="10" xfId="2" applyNumberFormat="1" applyFont="1" applyBorder="1" applyAlignment="1">
      <alignment horizontal="center" vertical="top"/>
    </xf>
    <xf numFmtId="171" fontId="16" fillId="0" borderId="11" xfId="0" applyNumberFormat="1" applyFont="1" applyBorder="1" applyAlignment="1">
      <alignment horizontal="center" vertical="top"/>
    </xf>
    <xf numFmtId="0" fontId="18" fillId="0" borderId="0" xfId="0" applyFont="1" applyBorder="1" applyAlignment="1">
      <alignment vertical="top" wrapText="1"/>
    </xf>
    <xf numFmtId="0" fontId="18" fillId="0" borderId="12" xfId="0" applyFont="1" applyBorder="1" applyAlignment="1">
      <alignment vertical="top" wrapText="1"/>
    </xf>
    <xf numFmtId="0" fontId="18" fillId="0" borderId="12" xfId="0" applyFont="1" applyBorder="1" applyAlignment="1">
      <alignment vertical="top"/>
    </xf>
    <xf numFmtId="0" fontId="18" fillId="0" borderId="14" xfId="0" applyFont="1" applyBorder="1" applyAlignment="1">
      <alignment vertical="top"/>
    </xf>
    <xf numFmtId="0" fontId="17" fillId="5" borderId="17" xfId="0" applyFont="1" applyFill="1" applyBorder="1" applyAlignment="1">
      <alignment horizontal="center" vertical="top" wrapText="1"/>
    </xf>
    <xf numFmtId="0" fontId="18" fillId="5" borderId="17" xfId="0" applyFont="1" applyFill="1" applyBorder="1" applyAlignment="1">
      <alignment horizontal="center" vertical="top" wrapText="1"/>
    </xf>
    <xf numFmtId="0" fontId="18" fillId="6" borderId="17" xfId="0" applyFont="1" applyFill="1" applyBorder="1" applyAlignment="1">
      <alignment horizontal="center" vertical="top" wrapText="1"/>
    </xf>
    <xf numFmtId="0" fontId="18" fillId="0" borderId="14" xfId="0" applyFont="1" applyFill="1" applyBorder="1" applyAlignment="1">
      <alignment vertical="top" wrapText="1"/>
    </xf>
    <xf numFmtId="0" fontId="17" fillId="6" borderId="12" xfId="0" applyFont="1" applyFill="1" applyBorder="1" applyAlignment="1">
      <alignment horizontal="center" vertical="top" wrapText="1"/>
    </xf>
    <xf numFmtId="0" fontId="17" fillId="6" borderId="17" xfId="0" applyFont="1" applyFill="1" applyBorder="1" applyAlignment="1">
      <alignment horizontal="center" vertical="top" wrapText="1"/>
    </xf>
    <xf numFmtId="0" fontId="18" fillId="0" borderId="14" xfId="0" applyFont="1" applyFill="1" applyBorder="1" applyAlignment="1">
      <alignment vertical="top"/>
    </xf>
    <xf numFmtId="0" fontId="18" fillId="7" borderId="12" xfId="0" applyFont="1" applyFill="1" applyBorder="1" applyAlignment="1">
      <alignment vertical="top"/>
    </xf>
    <xf numFmtId="0" fontId="18" fillId="7" borderId="17" xfId="0" applyFont="1" applyFill="1" applyBorder="1" applyAlignment="1">
      <alignment vertical="top" wrapText="1"/>
    </xf>
    <xf numFmtId="0" fontId="18" fillId="7" borderId="17" xfId="0" applyFont="1" applyFill="1" applyBorder="1" applyAlignment="1">
      <alignment horizontal="center" vertical="top" wrapText="1"/>
    </xf>
    <xf numFmtId="0" fontId="18" fillId="7" borderId="17" xfId="0" applyFont="1" applyFill="1" applyBorder="1" applyAlignment="1">
      <alignment horizontal="left" vertical="top" wrapText="1"/>
    </xf>
    <xf numFmtId="0" fontId="18" fillId="7" borderId="17" xfId="0" applyFont="1" applyFill="1" applyBorder="1" applyAlignment="1">
      <alignment vertical="top"/>
    </xf>
    <xf numFmtId="9" fontId="18" fillId="8" borderId="12" xfId="0" applyNumberFormat="1" applyFont="1" applyFill="1" applyBorder="1" applyAlignment="1">
      <alignment vertical="top"/>
    </xf>
    <xf numFmtId="0" fontId="18" fillId="0" borderId="17" xfId="0" applyFont="1" applyFill="1" applyBorder="1" applyAlignment="1">
      <alignment vertical="top"/>
    </xf>
    <xf numFmtId="9" fontId="18" fillId="9" borderId="17" xfId="0" applyNumberFormat="1" applyFont="1" applyFill="1" applyBorder="1" applyAlignment="1">
      <alignment vertical="top"/>
    </xf>
    <xf numFmtId="172" fontId="15" fillId="0" borderId="0" xfId="0" applyNumberFormat="1" applyFont="1"/>
    <xf numFmtId="43" fontId="15" fillId="0" borderId="0" xfId="1" applyFont="1"/>
    <xf numFmtId="172" fontId="15" fillId="0" borderId="0" xfId="0" applyNumberFormat="1" applyFont="1" applyFill="1"/>
    <xf numFmtId="0" fontId="15" fillId="0" borderId="0" xfId="0" applyFont="1" applyAlignment="1">
      <alignment wrapText="1"/>
    </xf>
    <xf numFmtId="1" fontId="15" fillId="0" borderId="0" xfId="0" applyNumberFormat="1" applyFont="1"/>
    <xf numFmtId="2" fontId="15" fillId="0" borderId="0" xfId="0" applyNumberFormat="1" applyFont="1" applyAlignment="1">
      <alignment horizontal="right"/>
    </xf>
    <xf numFmtId="172" fontId="15" fillId="0" borderId="0" xfId="0" applyNumberFormat="1" applyFont="1" applyAlignment="1">
      <alignment horizontal="right"/>
    </xf>
    <xf numFmtId="0" fontId="15" fillId="0" borderId="0" xfId="0" applyFont="1" applyBorder="1"/>
    <xf numFmtId="172" fontId="15" fillId="0" borderId="0" xfId="0" applyNumberFormat="1" applyFont="1" applyBorder="1"/>
    <xf numFmtId="38" fontId="15" fillId="0" borderId="0" xfId="0" applyNumberFormat="1" applyFont="1" applyFill="1" applyBorder="1" applyAlignment="1">
      <alignment horizontal="right" vertical="top"/>
    </xf>
    <xf numFmtId="0" fontId="15" fillId="0" borderId="0" xfId="0" applyFont="1" applyFill="1" applyBorder="1" applyAlignment="1">
      <alignment horizontal="left" vertical="top"/>
    </xf>
    <xf numFmtId="44" fontId="15" fillId="0" borderId="0" xfId="2" applyNumberFormat="1" applyFont="1" applyFill="1" applyBorder="1" applyAlignment="1">
      <alignment horizontal="left" vertical="top"/>
    </xf>
    <xf numFmtId="44" fontId="15" fillId="0" borderId="0" xfId="0" applyNumberFormat="1" applyFont="1" applyBorder="1"/>
    <xf numFmtId="0" fontId="15" fillId="0" borderId="0" xfId="0" applyFont="1" applyFill="1" applyBorder="1" applyAlignment="1">
      <alignment horizontal="left" vertical="top" wrapText="1"/>
    </xf>
    <xf numFmtId="0" fontId="15" fillId="4" borderId="0" xfId="0" applyFont="1" applyFill="1" applyBorder="1" applyAlignment="1">
      <alignment horizontal="left" vertical="top"/>
    </xf>
    <xf numFmtId="171" fontId="16" fillId="0" borderId="0" xfId="0" applyNumberFormat="1" applyFont="1" applyFill="1" applyBorder="1" applyAlignment="1">
      <alignment horizontal="center" vertical="top"/>
    </xf>
    <xf numFmtId="0" fontId="16" fillId="0" borderId="0" xfId="0" applyFont="1" applyBorder="1" applyAlignment="1">
      <alignment horizontal="center" vertical="top" wrapText="1"/>
    </xf>
    <xf numFmtId="44" fontId="16" fillId="0" borderId="0" xfId="0" applyNumberFormat="1" applyFont="1" applyBorder="1" applyAlignment="1">
      <alignment horizontal="center" vertical="top" wrapText="1"/>
    </xf>
    <xf numFmtId="171" fontId="16" fillId="0" borderId="0" xfId="0" applyNumberFormat="1" applyFont="1" applyBorder="1" applyAlignment="1">
      <alignment horizontal="center" vertical="top"/>
    </xf>
    <xf numFmtId="171" fontId="15" fillId="0" borderId="0" xfId="0" applyNumberFormat="1" applyFont="1"/>
    <xf numFmtId="44" fontId="15" fillId="0" borderId="0" xfId="0" applyNumberFormat="1" applyFont="1"/>
    <xf numFmtId="0" fontId="26" fillId="0" borderId="0" xfId="5" applyFont="1" applyBorder="1"/>
    <xf numFmtId="0" fontId="27" fillId="0" borderId="21" xfId="5" applyFont="1" applyFill="1" applyBorder="1" applyAlignment="1">
      <alignment horizontal="left"/>
    </xf>
    <xf numFmtId="0" fontId="26" fillId="0" borderId="10" xfId="5" applyFont="1" applyFill="1" applyBorder="1" applyAlignment="1">
      <alignment horizontal="left" indent="1"/>
    </xf>
    <xf numFmtId="174" fontId="26" fillId="0" borderId="10" xfId="6" applyNumberFormat="1" applyFont="1" applyBorder="1" applyAlignment="1">
      <alignment horizontal="center"/>
    </xf>
    <xf numFmtId="0" fontId="26" fillId="0" borderId="10" xfId="5" applyFont="1" applyBorder="1" applyAlignment="1">
      <alignment horizontal="center"/>
    </xf>
    <xf numFmtId="2" fontId="26" fillId="0" borderId="10" xfId="6" applyNumberFormat="1" applyFont="1" applyBorder="1"/>
    <xf numFmtId="174" fontId="26" fillId="0" borderId="11" xfId="6" applyNumberFormat="1" applyFont="1" applyBorder="1" applyAlignment="1">
      <alignment horizontal="right"/>
    </xf>
    <xf numFmtId="0" fontId="26" fillId="0" borderId="0" xfId="5" applyFont="1"/>
    <xf numFmtId="0" fontId="28" fillId="0" borderId="22" xfId="5" applyFont="1" applyBorder="1" applyAlignment="1">
      <alignment horizontal="left"/>
    </xf>
    <xf numFmtId="0" fontId="26" fillId="0" borderId="0" xfId="5" applyFont="1" applyBorder="1" applyAlignment="1">
      <alignment horizontal="left" indent="1"/>
    </xf>
    <xf numFmtId="174" fontId="29" fillId="0" borderId="0" xfId="6" applyNumberFormat="1" applyFont="1" applyBorder="1" applyAlignment="1">
      <alignment horizontal="left" indent="1"/>
    </xf>
    <xf numFmtId="0" fontId="26" fillId="0" borderId="0" xfId="5" applyFont="1" applyBorder="1" applyAlignment="1">
      <alignment horizontal="center"/>
    </xf>
    <xf numFmtId="2" fontId="26" fillId="0" borderId="0" xfId="6" applyNumberFormat="1" applyFont="1" applyBorder="1"/>
    <xf numFmtId="174" fontId="26" fillId="0" borderId="5" xfId="6" applyNumberFormat="1" applyFont="1" applyBorder="1" applyAlignment="1">
      <alignment horizontal="left"/>
    </xf>
    <xf numFmtId="0" fontId="29" fillId="0" borderId="0" xfId="5" applyFont="1" applyBorder="1"/>
    <xf numFmtId="0" fontId="30" fillId="0" borderId="22" xfId="5" applyFont="1" applyBorder="1"/>
    <xf numFmtId="0" fontId="29" fillId="0" borderId="0" xfId="5" applyFont="1" applyBorder="1" applyAlignment="1">
      <alignment horizontal="left" indent="1"/>
    </xf>
    <xf numFmtId="174" fontId="29" fillId="0" borderId="0" xfId="6" applyNumberFormat="1" applyFont="1" applyBorder="1" applyAlignment="1">
      <alignment horizontal="center"/>
    </xf>
    <xf numFmtId="0" fontId="29" fillId="0" borderId="0" xfId="5" applyFont="1" applyBorder="1" applyAlignment="1">
      <alignment horizontal="center"/>
    </xf>
    <xf numFmtId="2" fontId="29" fillId="0" borderId="0" xfId="6" applyNumberFormat="1" applyFont="1" applyBorder="1"/>
    <xf numFmtId="174" fontId="29" fillId="0" borderId="5" xfId="6" applyNumberFormat="1" applyFont="1" applyBorder="1" applyAlignment="1">
      <alignment horizontal="right"/>
    </xf>
    <xf numFmtId="0" fontId="29" fillId="0" borderId="0" xfId="5" applyFont="1"/>
    <xf numFmtId="0" fontId="31" fillId="0" borderId="0" xfId="5" applyFont="1" applyBorder="1" applyAlignment="1">
      <alignment vertical="center"/>
    </xf>
    <xf numFmtId="174" fontId="32" fillId="12" borderId="32" xfId="6" applyNumberFormat="1" applyFont="1" applyFill="1" applyBorder="1" applyAlignment="1">
      <alignment horizontal="center" vertical="center" wrapText="1"/>
    </xf>
    <xf numFmtId="0" fontId="32" fillId="12" borderId="33" xfId="5" applyFont="1" applyFill="1" applyBorder="1" applyAlignment="1">
      <alignment horizontal="center" vertical="center" wrapText="1"/>
    </xf>
    <xf numFmtId="0" fontId="32" fillId="12" borderId="34" xfId="5" applyFont="1" applyFill="1" applyBorder="1" applyAlignment="1">
      <alignment horizontal="center" vertical="center" wrapText="1"/>
    </xf>
    <xf numFmtId="2" fontId="32" fillId="12" borderId="34" xfId="6" applyNumberFormat="1" applyFont="1" applyFill="1" applyBorder="1" applyAlignment="1">
      <alignment horizontal="center" vertical="center" wrapText="1"/>
    </xf>
    <xf numFmtId="174" fontId="32" fillId="12" borderId="35" xfId="6" applyNumberFormat="1" applyFont="1" applyFill="1" applyBorder="1" applyAlignment="1">
      <alignment horizontal="center" vertical="center" wrapText="1"/>
    </xf>
    <xf numFmtId="0" fontId="31" fillId="0" borderId="0" xfId="5" applyFont="1" applyAlignment="1">
      <alignment vertical="center"/>
    </xf>
    <xf numFmtId="0" fontId="31" fillId="0" borderId="22" xfId="5" applyFont="1" applyBorder="1" applyAlignment="1">
      <alignment vertical="center"/>
    </xf>
    <xf numFmtId="0" fontId="31" fillId="0" borderId="0" xfId="5" applyFont="1" applyBorder="1" applyAlignment="1">
      <alignment horizontal="left" vertical="center"/>
    </xf>
    <xf numFmtId="174" fontId="31" fillId="0" borderId="0" xfId="6" applyNumberFormat="1" applyFont="1" applyBorder="1" applyAlignment="1">
      <alignment horizontal="center" vertical="center"/>
    </xf>
    <xf numFmtId="0" fontId="31" fillId="0" borderId="0" xfId="5" applyFont="1" applyBorder="1" applyAlignment="1">
      <alignment horizontal="center" vertical="center"/>
    </xf>
    <xf numFmtId="2" fontId="31" fillId="0" borderId="0" xfId="6" applyNumberFormat="1" applyFont="1" applyBorder="1" applyAlignment="1">
      <alignment vertical="center"/>
    </xf>
    <xf numFmtId="174" fontId="31" fillId="0" borderId="5" xfId="6" applyNumberFormat="1" applyFont="1" applyBorder="1" applyAlignment="1">
      <alignment horizontal="right" vertical="center"/>
    </xf>
    <xf numFmtId="0" fontId="32" fillId="12" borderId="30" xfId="5" applyFont="1" applyFill="1" applyBorder="1" applyAlignment="1">
      <alignment vertical="center"/>
    </xf>
    <xf numFmtId="0" fontId="31" fillId="12" borderId="31" xfId="5" applyFont="1" applyFill="1" applyBorder="1" applyAlignment="1">
      <alignment horizontal="left" vertical="center"/>
    </xf>
    <xf numFmtId="174" fontId="31" fillId="12" borderId="32" xfId="6" applyNumberFormat="1" applyFont="1" applyFill="1" applyBorder="1" applyAlignment="1">
      <alignment horizontal="center" vertical="center"/>
    </xf>
    <xf numFmtId="0" fontId="31" fillId="12" borderId="34" xfId="5" applyFont="1" applyFill="1" applyBorder="1" applyAlignment="1">
      <alignment horizontal="center" vertical="center"/>
    </xf>
    <xf numFmtId="2" fontId="31" fillId="12" borderId="32" xfId="6" applyNumberFormat="1" applyFont="1" applyFill="1" applyBorder="1" applyAlignment="1">
      <alignment vertical="center"/>
    </xf>
    <xf numFmtId="174" fontId="31" fillId="12" borderId="35" xfId="6" applyNumberFormat="1" applyFont="1" applyFill="1" applyBorder="1" applyAlignment="1">
      <alignment horizontal="right" vertical="center"/>
    </xf>
    <xf numFmtId="0" fontId="31" fillId="0" borderId="36" xfId="5" applyFont="1" applyBorder="1" applyAlignment="1">
      <alignment horizontal="right" vertical="center" indent="1"/>
    </xf>
    <xf numFmtId="0" fontId="31" fillId="0" borderId="37" xfId="5" applyFont="1" applyBorder="1" applyAlignment="1">
      <alignment horizontal="left" vertical="center"/>
    </xf>
    <xf numFmtId="174" fontId="31" fillId="0" borderId="38" xfId="6" applyNumberFormat="1" applyFont="1" applyBorder="1" applyAlignment="1">
      <alignment horizontal="center" vertical="center"/>
    </xf>
    <xf numFmtId="9" fontId="31" fillId="0" borderId="37" xfId="7" applyNumberFormat="1" applyFont="1" applyBorder="1" applyAlignment="1">
      <alignment horizontal="center" vertical="center"/>
    </xf>
    <xf numFmtId="0" fontId="31" fillId="0" borderId="37" xfId="5" applyFont="1" applyBorder="1" applyAlignment="1">
      <alignment horizontal="center" vertical="center"/>
    </xf>
    <xf numFmtId="2" fontId="31" fillId="0" borderId="38" xfId="6" applyNumberFormat="1" applyFont="1" applyBorder="1" applyAlignment="1">
      <alignment horizontal="center" vertical="center"/>
    </xf>
    <xf numFmtId="174" fontId="31" fillId="0" borderId="39" xfId="6" applyNumberFormat="1" applyFont="1" applyBorder="1" applyAlignment="1">
      <alignment horizontal="right" vertical="center"/>
    </xf>
    <xf numFmtId="0" fontId="31" fillId="0" borderId="40" xfId="5" applyFont="1" applyBorder="1" applyAlignment="1">
      <alignment vertical="center"/>
    </xf>
    <xf numFmtId="0" fontId="31" fillId="0" borderId="41" xfId="5" applyFont="1" applyBorder="1" applyAlignment="1">
      <alignment horizontal="right" vertical="center" indent="1"/>
    </xf>
    <xf numFmtId="0" fontId="31" fillId="0" borderId="42" xfId="5" applyFont="1" applyBorder="1" applyAlignment="1">
      <alignment horizontal="left" vertical="center"/>
    </xf>
    <xf numFmtId="174" fontId="31" fillId="0" borderId="43" xfId="6" applyNumberFormat="1" applyFont="1" applyFill="1" applyBorder="1" applyAlignment="1">
      <alignment horizontal="center" vertical="center"/>
    </xf>
    <xf numFmtId="9" fontId="31" fillId="0" borderId="42" xfId="7" applyNumberFormat="1" applyFont="1" applyFill="1" applyBorder="1" applyAlignment="1">
      <alignment horizontal="center" vertical="center"/>
    </xf>
    <xf numFmtId="0" fontId="31" fillId="0" borderId="42" xfId="5" applyFont="1" applyFill="1" applyBorder="1" applyAlignment="1">
      <alignment horizontal="center" vertical="center"/>
    </xf>
    <xf numFmtId="2" fontId="31" fillId="0" borderId="43" xfId="6" applyNumberFormat="1" applyFont="1" applyFill="1" applyBorder="1" applyAlignment="1">
      <alignment horizontal="center" vertical="center"/>
    </xf>
    <xf numFmtId="174" fontId="31" fillId="0" borderId="44" xfId="6" applyNumberFormat="1" applyFont="1" applyBorder="1" applyAlignment="1">
      <alignment horizontal="right" vertical="center"/>
    </xf>
    <xf numFmtId="0" fontId="31" fillId="0" borderId="45" xfId="5" applyFont="1" applyBorder="1" applyAlignment="1">
      <alignment vertical="center"/>
    </xf>
    <xf numFmtId="9" fontId="31" fillId="0" borderId="42" xfId="7" applyFont="1" applyFill="1" applyBorder="1" applyAlignment="1">
      <alignment horizontal="center" vertical="center"/>
    </xf>
    <xf numFmtId="174" fontId="33" fillId="0" borderId="43" xfId="6" applyNumberFormat="1" applyFont="1" applyFill="1" applyBorder="1" applyAlignment="1">
      <alignment horizontal="center" vertical="center"/>
    </xf>
    <xf numFmtId="0" fontId="31" fillId="0" borderId="42" xfId="5" applyFont="1" applyBorder="1" applyAlignment="1">
      <alignment horizontal="left" vertical="center" wrapText="1"/>
    </xf>
    <xf numFmtId="2" fontId="31" fillId="0" borderId="41" xfId="5" applyNumberFormat="1" applyFont="1" applyBorder="1" applyAlignment="1">
      <alignment horizontal="right" vertical="center" indent="1"/>
    </xf>
    <xf numFmtId="174" fontId="34" fillId="0" borderId="43" xfId="6" applyNumberFormat="1" applyFont="1" applyFill="1" applyBorder="1" applyAlignment="1">
      <alignment horizontal="center" vertical="center"/>
    </xf>
    <xf numFmtId="0" fontId="31" fillId="0" borderId="46" xfId="5" applyFont="1" applyBorder="1" applyAlignment="1">
      <alignment vertical="center"/>
    </xf>
    <xf numFmtId="2" fontId="31" fillId="0" borderId="47" xfId="5" applyNumberFormat="1" applyFont="1" applyBorder="1" applyAlignment="1">
      <alignment horizontal="right" vertical="center" indent="1"/>
    </xf>
    <xf numFmtId="0" fontId="31" fillId="0" borderId="48" xfId="5" applyFont="1" applyBorder="1" applyAlignment="1">
      <alignment horizontal="left" vertical="center" wrapText="1"/>
    </xf>
    <xf numFmtId="9" fontId="31" fillId="0" borderId="48" xfId="7" applyNumberFormat="1" applyFont="1" applyFill="1" applyBorder="1" applyAlignment="1">
      <alignment horizontal="center" vertical="center"/>
    </xf>
    <xf numFmtId="0" fontId="31" fillId="0" borderId="48" xfId="5" applyFont="1" applyFill="1" applyBorder="1" applyAlignment="1">
      <alignment horizontal="center" vertical="center"/>
    </xf>
    <xf numFmtId="2" fontId="31" fillId="0" borderId="49" xfId="6" applyNumberFormat="1" applyFont="1" applyFill="1" applyBorder="1" applyAlignment="1">
      <alignment horizontal="center" vertical="center"/>
    </xf>
    <xf numFmtId="174" fontId="31" fillId="0" borderId="50" xfId="6" applyNumberFormat="1" applyFont="1" applyBorder="1" applyAlignment="1">
      <alignment horizontal="right" vertical="center"/>
    </xf>
    <xf numFmtId="174" fontId="32" fillId="0" borderId="35" xfId="6" applyNumberFormat="1" applyFont="1" applyBorder="1" applyAlignment="1">
      <alignment horizontal="right" vertical="center"/>
    </xf>
    <xf numFmtId="174" fontId="31" fillId="12" borderId="51" xfId="6" applyNumberFormat="1" applyFont="1" applyFill="1" applyBorder="1" applyAlignment="1">
      <alignment horizontal="right" vertical="center"/>
    </xf>
    <xf numFmtId="174" fontId="34" fillId="0" borderId="38" xfId="6" applyNumberFormat="1" applyFont="1" applyBorder="1" applyAlignment="1">
      <alignment horizontal="center" vertical="center"/>
    </xf>
    <xf numFmtId="9" fontId="31" fillId="0" borderId="37" xfId="7" applyFont="1" applyBorder="1" applyAlignment="1">
      <alignment horizontal="center" vertical="center"/>
    </xf>
    <xf numFmtId="2" fontId="31" fillId="0" borderId="43" xfId="6" applyNumberFormat="1" applyFont="1" applyBorder="1" applyAlignment="1">
      <alignment horizontal="center" vertical="center"/>
    </xf>
    <xf numFmtId="174" fontId="31" fillId="0" borderId="43" xfId="6" applyNumberFormat="1" applyFont="1" applyBorder="1" applyAlignment="1">
      <alignment horizontal="center" vertical="center"/>
    </xf>
    <xf numFmtId="9" fontId="31" fillId="0" borderId="42" xfId="7" applyFont="1" applyBorder="1" applyAlignment="1">
      <alignment horizontal="center" vertical="center"/>
    </xf>
    <xf numFmtId="0" fontId="31" fillId="0" borderId="42" xfId="5" applyFont="1" applyBorder="1" applyAlignment="1">
      <alignment horizontal="center" vertical="center"/>
    </xf>
    <xf numFmtId="174" fontId="35" fillId="0" borderId="43" xfId="6" applyNumberFormat="1" applyFont="1" applyFill="1" applyBorder="1" applyAlignment="1">
      <alignment horizontal="center" vertical="center"/>
    </xf>
    <xf numFmtId="0" fontId="31" fillId="0" borderId="42" xfId="5" applyFont="1" applyFill="1" applyBorder="1" applyAlignment="1">
      <alignment horizontal="left" vertical="center"/>
    </xf>
    <xf numFmtId="0" fontId="31" fillId="0" borderId="47" xfId="5" applyFont="1" applyBorder="1" applyAlignment="1">
      <alignment horizontal="right" vertical="center" indent="1"/>
    </xf>
    <xf numFmtId="0" fontId="31" fillId="0" borderId="48" xfId="5" applyFont="1" applyFill="1" applyBorder="1" applyAlignment="1">
      <alignment horizontal="left" vertical="center"/>
    </xf>
    <xf numFmtId="174" fontId="33" fillId="0" borderId="49" xfId="6" applyNumberFormat="1" applyFont="1" applyBorder="1" applyAlignment="1">
      <alignment horizontal="center" vertical="center"/>
    </xf>
    <xf numFmtId="9" fontId="31" fillId="0" borderId="48" xfId="7" applyFont="1" applyBorder="1" applyAlignment="1">
      <alignment horizontal="center" vertical="center"/>
    </xf>
    <xf numFmtId="0" fontId="31" fillId="0" borderId="48" xfId="5" applyFont="1" applyBorder="1" applyAlignment="1">
      <alignment horizontal="center" vertical="center"/>
    </xf>
    <xf numFmtId="2" fontId="31" fillId="0" borderId="49" xfId="6" applyNumberFormat="1" applyFont="1" applyBorder="1" applyAlignment="1">
      <alignment horizontal="center" vertical="center"/>
    </xf>
    <xf numFmtId="174" fontId="35" fillId="0" borderId="38" xfId="6" applyNumberFormat="1" applyFont="1" applyBorder="1" applyAlignment="1">
      <alignment horizontal="center" vertical="center"/>
    </xf>
    <xf numFmtId="0" fontId="31" fillId="0" borderId="48" xfId="5" applyFont="1" applyBorder="1" applyAlignment="1">
      <alignment horizontal="left" vertical="center"/>
    </xf>
    <xf numFmtId="174" fontId="31" fillId="0" borderId="49" xfId="6" applyNumberFormat="1" applyFont="1" applyBorder="1" applyAlignment="1">
      <alignment horizontal="center" vertical="center"/>
    </xf>
    <xf numFmtId="0" fontId="31" fillId="0" borderId="52" xfId="5" applyFont="1" applyBorder="1" applyAlignment="1">
      <alignment vertical="center"/>
    </xf>
    <xf numFmtId="0" fontId="31" fillId="0" borderId="53" xfId="5" applyFont="1" applyBorder="1" applyAlignment="1">
      <alignment horizontal="left" vertical="center"/>
    </xf>
    <xf numFmtId="174" fontId="31" fillId="0" borderId="53" xfId="6" applyNumberFormat="1" applyFont="1" applyBorder="1" applyAlignment="1">
      <alignment horizontal="center" vertical="center"/>
    </xf>
    <xf numFmtId="0" fontId="31" fillId="0" borderId="53" xfId="5" applyFont="1" applyBorder="1" applyAlignment="1">
      <alignment horizontal="center" vertical="center"/>
    </xf>
    <xf numFmtId="2" fontId="31" fillId="0" borderId="53" xfId="6" applyNumberFormat="1" applyFont="1" applyBorder="1" applyAlignment="1">
      <alignment vertical="center"/>
    </xf>
    <xf numFmtId="174" fontId="32" fillId="0" borderId="54" xfId="6" applyNumberFormat="1" applyFont="1" applyBorder="1" applyAlignment="1">
      <alignment horizontal="right" vertical="center"/>
    </xf>
    <xf numFmtId="0" fontId="32" fillId="12" borderId="31" xfId="5" applyFont="1" applyFill="1" applyBorder="1" applyAlignment="1">
      <alignment horizontal="left" vertical="center"/>
    </xf>
    <xf numFmtId="174" fontId="32" fillId="12" borderId="32" xfId="6" applyNumberFormat="1" applyFont="1" applyFill="1" applyBorder="1" applyAlignment="1">
      <alignment horizontal="center" vertical="center"/>
    </xf>
    <xf numFmtId="0" fontId="32" fillId="12" borderId="34" xfId="5" applyFont="1" applyFill="1" applyBorder="1" applyAlignment="1">
      <alignment horizontal="center" vertical="center"/>
    </xf>
    <xf numFmtId="2" fontId="32" fillId="12" borderId="32" xfId="6" applyNumberFormat="1" applyFont="1" applyFill="1" applyBorder="1" applyAlignment="1">
      <alignment horizontal="center" vertical="center"/>
    </xf>
    <xf numFmtId="174" fontId="32" fillId="12" borderId="51" xfId="6" applyNumberFormat="1" applyFont="1" applyFill="1" applyBorder="1" applyAlignment="1">
      <alignment horizontal="right" vertical="center"/>
    </xf>
    <xf numFmtId="174" fontId="35" fillId="0" borderId="43" xfId="6" applyNumberFormat="1" applyFont="1" applyBorder="1" applyAlignment="1">
      <alignment horizontal="center" vertical="center"/>
    </xf>
    <xf numFmtId="0" fontId="31" fillId="0" borderId="55" xfId="5" applyFont="1" applyBorder="1" applyAlignment="1">
      <alignment vertical="center"/>
    </xf>
    <xf numFmtId="0" fontId="31" fillId="0" borderId="34" xfId="5" applyFont="1" applyBorder="1" applyAlignment="1">
      <alignment horizontal="left" vertical="center"/>
    </xf>
    <xf numFmtId="174" fontId="31" fillId="0" borderId="32" xfId="6" applyNumberFormat="1" applyFont="1" applyBorder="1" applyAlignment="1">
      <alignment horizontal="center" vertical="center"/>
    </xf>
    <xf numFmtId="0" fontId="31" fillId="0" borderId="34" xfId="5" applyFont="1" applyBorder="1" applyAlignment="1">
      <alignment horizontal="center" vertical="center"/>
    </xf>
    <xf numFmtId="2" fontId="31" fillId="0" borderId="32" xfId="6" applyNumberFormat="1" applyFont="1" applyBorder="1" applyAlignment="1">
      <alignment vertical="center"/>
    </xf>
    <xf numFmtId="174" fontId="32" fillId="0" borderId="51" xfId="6" applyNumberFormat="1" applyFont="1" applyBorder="1" applyAlignment="1">
      <alignment horizontal="right" vertical="center"/>
    </xf>
    <xf numFmtId="174" fontId="33" fillId="0" borderId="38" xfId="6" applyNumberFormat="1" applyFont="1" applyBorder="1" applyAlignment="1">
      <alignment horizontal="center" vertical="center"/>
    </xf>
    <xf numFmtId="0" fontId="32" fillId="12" borderId="32" xfId="5" applyFont="1" applyFill="1" applyBorder="1" applyAlignment="1">
      <alignment horizontal="left" vertical="center"/>
    </xf>
    <xf numFmtId="0" fontId="32" fillId="12" borderId="32" xfId="5" applyFont="1" applyFill="1" applyBorder="1" applyAlignment="1">
      <alignment horizontal="center" vertical="center"/>
    </xf>
    <xf numFmtId="0" fontId="32" fillId="12" borderId="31" xfId="5" applyFont="1" applyFill="1" applyBorder="1" applyAlignment="1">
      <alignment horizontal="center" vertical="center"/>
    </xf>
    <xf numFmtId="0" fontId="31" fillId="0" borderId="56" xfId="5" applyFont="1" applyFill="1" applyBorder="1" applyAlignment="1">
      <alignment horizontal="left" vertical="center"/>
    </xf>
    <xf numFmtId="174" fontId="31" fillId="0" borderId="37" xfId="6" applyNumberFormat="1" applyFont="1" applyFill="1" applyBorder="1" applyAlignment="1">
      <alignment horizontal="center" vertical="center"/>
    </xf>
    <xf numFmtId="0" fontId="31" fillId="0" borderId="57" xfId="5" applyFont="1" applyFill="1" applyBorder="1" applyAlignment="1">
      <alignment horizontal="left" vertical="center"/>
    </xf>
    <xf numFmtId="174" fontId="35" fillId="0" borderId="42" xfId="6" applyNumberFormat="1" applyFont="1" applyFill="1" applyBorder="1" applyAlignment="1">
      <alignment horizontal="center" vertical="center"/>
    </xf>
    <xf numFmtId="174" fontId="31" fillId="0" borderId="42" xfId="6" applyNumberFormat="1" applyFont="1" applyFill="1" applyBorder="1" applyAlignment="1">
      <alignment horizontal="center" vertical="center"/>
    </xf>
    <xf numFmtId="0" fontId="36" fillId="0" borderId="42" xfId="5" applyFont="1" applyBorder="1" applyAlignment="1">
      <alignment horizontal="left" vertical="center"/>
    </xf>
    <xf numFmtId="2" fontId="32" fillId="0" borderId="43" xfId="6" applyNumberFormat="1" applyFont="1" applyBorder="1" applyAlignment="1">
      <alignment horizontal="center" vertical="center"/>
    </xf>
    <xf numFmtId="174" fontId="33" fillId="0" borderId="42" xfId="6" applyNumberFormat="1" applyFont="1" applyFill="1" applyBorder="1" applyAlignment="1">
      <alignment horizontal="center" vertical="center"/>
    </xf>
    <xf numFmtId="174" fontId="32" fillId="0" borderId="5" xfId="6" applyNumberFormat="1" applyFont="1" applyBorder="1" applyAlignment="1">
      <alignment horizontal="right" vertical="center"/>
    </xf>
    <xf numFmtId="0" fontId="31" fillId="0" borderId="17" xfId="5" applyFont="1" applyBorder="1" applyAlignment="1">
      <alignment vertical="center"/>
    </xf>
    <xf numFmtId="0" fontId="31" fillId="0" borderId="12" xfId="5" applyFont="1" applyBorder="1" applyAlignment="1">
      <alignment horizontal="left" vertical="center"/>
    </xf>
    <xf numFmtId="174" fontId="31" fillId="0" borderId="12" xfId="6" applyNumberFormat="1" applyFont="1" applyBorder="1" applyAlignment="1">
      <alignment horizontal="center" vertical="center"/>
    </xf>
    <xf numFmtId="0" fontId="31" fillId="0" borderId="12" xfId="5" applyFont="1" applyBorder="1" applyAlignment="1">
      <alignment horizontal="center" vertical="center"/>
    </xf>
    <xf numFmtId="2" fontId="32" fillId="0" borderId="58" xfId="6" applyNumberFormat="1" applyFont="1" applyBorder="1" applyAlignment="1">
      <alignment horizontal="right" vertical="center"/>
    </xf>
    <xf numFmtId="174" fontId="32" fillId="0" borderId="59" xfId="6" applyNumberFormat="1" applyFont="1" applyBorder="1" applyAlignment="1">
      <alignment horizontal="right" vertical="center"/>
    </xf>
    <xf numFmtId="0" fontId="29" fillId="0" borderId="0" xfId="5" applyFont="1" applyAlignment="1">
      <alignment horizontal="left" indent="1"/>
    </xf>
    <xf numFmtId="174" fontId="29" fillId="0" borderId="0" xfId="6" applyNumberFormat="1" applyFont="1" applyAlignment="1">
      <alignment horizontal="center"/>
    </xf>
    <xf numFmtId="0" fontId="29" fillId="0" borderId="0" xfId="5" applyFont="1" applyAlignment="1">
      <alignment horizontal="center"/>
    </xf>
    <xf numFmtId="2" fontId="29" fillId="0" borderId="0" xfId="6" applyNumberFormat="1" applyFont="1" applyAlignment="1">
      <alignment horizontal="center"/>
    </xf>
    <xf numFmtId="174" fontId="29" fillId="0" borderId="0" xfId="6" applyNumberFormat="1" applyFont="1"/>
    <xf numFmtId="2" fontId="29" fillId="0" borderId="0" xfId="6" applyNumberFormat="1" applyFont="1"/>
    <xf numFmtId="0" fontId="15" fillId="0" borderId="10" xfId="8" applyFont="1" applyBorder="1" applyAlignment="1">
      <alignment horizontal="center" vertical="top" wrapText="1"/>
    </xf>
    <xf numFmtId="0" fontId="15" fillId="0" borderId="5" xfId="8" applyFont="1" applyBorder="1" applyAlignment="1">
      <alignment vertical="top"/>
    </xf>
    <xf numFmtId="0" fontId="15" fillId="0" borderId="6" xfId="8" applyFont="1" applyBorder="1" applyAlignment="1">
      <alignment vertical="top"/>
    </xf>
    <xf numFmtId="44" fontId="15" fillId="0" borderId="7" xfId="8" applyNumberFormat="1" applyFont="1" applyBorder="1" applyAlignment="1">
      <alignment vertical="top"/>
    </xf>
    <xf numFmtId="0" fontId="16" fillId="3" borderId="8" xfId="8" applyFont="1" applyFill="1" applyBorder="1" applyAlignment="1">
      <alignment horizontal="center" vertical="top"/>
    </xf>
    <xf numFmtId="0" fontId="15" fillId="0" borderId="0" xfId="8" applyFont="1"/>
    <xf numFmtId="0" fontId="15" fillId="0" borderId="12" xfId="8" applyFont="1" applyBorder="1" applyAlignment="1">
      <alignment horizontal="center" vertical="top" wrapText="1"/>
    </xf>
    <xf numFmtId="0" fontId="15" fillId="0" borderId="0" xfId="8" applyFont="1" applyAlignment="1">
      <alignment vertical="top"/>
    </xf>
    <xf numFmtId="44" fontId="15" fillId="0" borderId="7" xfId="8" applyNumberFormat="1" applyFont="1" applyBorder="1" applyAlignment="1">
      <alignment horizontal="left" vertical="top"/>
    </xf>
    <xf numFmtId="15" fontId="15" fillId="0" borderId="7" xfId="8" applyNumberFormat="1" applyFont="1" applyBorder="1" applyAlignment="1">
      <alignment horizontal="center" vertical="top"/>
    </xf>
    <xf numFmtId="0" fontId="15" fillId="0" borderId="0" xfId="8" applyFont="1" applyAlignment="1">
      <alignment horizontal="center" vertical="top"/>
    </xf>
    <xf numFmtId="44" fontId="15" fillId="0" borderId="0" xfId="8" applyNumberFormat="1" applyFont="1" applyAlignment="1">
      <alignment vertical="top"/>
    </xf>
    <xf numFmtId="0" fontId="16" fillId="0" borderId="21" xfId="8" applyFont="1" applyBorder="1" applyAlignment="1">
      <alignment horizontal="center" vertical="top"/>
    </xf>
    <xf numFmtId="0" fontId="16" fillId="0" borderId="10" xfId="8" applyFont="1" applyBorder="1" applyAlignment="1">
      <alignment horizontal="center" vertical="top"/>
    </xf>
    <xf numFmtId="0" fontId="16" fillId="0" borderId="10" xfId="8" applyFont="1" applyBorder="1" applyAlignment="1">
      <alignment horizontal="center" vertical="top" wrapText="1"/>
    </xf>
    <xf numFmtId="38" fontId="16" fillId="0" borderId="10" xfId="8" applyNumberFormat="1" applyFont="1" applyBorder="1" applyAlignment="1">
      <alignment horizontal="center" vertical="top"/>
    </xf>
    <xf numFmtId="44" fontId="16" fillId="0" borderId="10" xfId="6" applyNumberFormat="1" applyFont="1" applyBorder="1" applyAlignment="1">
      <alignment horizontal="center" vertical="top"/>
    </xf>
    <xf numFmtId="171" fontId="16" fillId="0" borderId="11" xfId="8" applyNumberFormat="1" applyFont="1" applyBorder="1" applyAlignment="1">
      <alignment horizontal="center" vertical="top"/>
    </xf>
    <xf numFmtId="0" fontId="16" fillId="0" borderId="0" xfId="8" applyFont="1"/>
    <xf numFmtId="0" fontId="15" fillId="0" borderId="17" xfId="8" applyFont="1" applyBorder="1" applyAlignment="1">
      <alignment horizontal="center" vertical="top"/>
    </xf>
    <xf numFmtId="0" fontId="15" fillId="0" borderId="12" xfId="8" applyFont="1" applyBorder="1" applyAlignment="1">
      <alignment horizontal="center" vertical="top"/>
    </xf>
    <xf numFmtId="38" fontId="15" fillId="0" borderId="12" xfId="8" applyNumberFormat="1" applyFont="1" applyBorder="1" applyAlignment="1">
      <alignment horizontal="center" vertical="top"/>
    </xf>
    <xf numFmtId="44" fontId="15" fillId="0" borderId="12" xfId="6" applyNumberFormat="1" applyFont="1" applyBorder="1" applyAlignment="1">
      <alignment horizontal="center" vertical="top"/>
    </xf>
    <xf numFmtId="171" fontId="15" fillId="0" borderId="13" xfId="8" applyNumberFormat="1" applyFont="1" applyBorder="1" applyAlignment="1">
      <alignment horizontal="center" vertical="top"/>
    </xf>
    <xf numFmtId="0" fontId="15" fillId="0" borderId="60" xfId="8" applyFont="1" applyBorder="1" applyAlignment="1">
      <alignment horizontal="center" vertical="top"/>
    </xf>
    <xf numFmtId="0" fontId="15" fillId="0" borderId="15" xfId="8" applyFont="1" applyBorder="1" applyAlignment="1">
      <alignment horizontal="center" vertical="top"/>
    </xf>
    <xf numFmtId="0" fontId="15" fillId="0" borderId="61" xfId="8" applyFont="1" applyBorder="1" applyAlignment="1">
      <alignment horizontal="left" vertical="top" wrapText="1"/>
    </xf>
    <xf numFmtId="38" fontId="15" fillId="0" borderId="15" xfId="8" applyNumberFormat="1" applyFont="1" applyBorder="1" applyAlignment="1">
      <alignment horizontal="right" vertical="top"/>
    </xf>
    <xf numFmtId="0" fontId="15" fillId="0" borderId="15" xfId="8" applyFont="1" applyBorder="1" applyAlignment="1">
      <alignment horizontal="left" vertical="top"/>
    </xf>
    <xf numFmtId="44" fontId="15" fillId="0" borderId="15" xfId="6" applyNumberFormat="1" applyFont="1" applyBorder="1" applyAlignment="1">
      <alignment horizontal="left" vertical="top"/>
    </xf>
    <xf numFmtId="171" fontId="15" fillId="4" borderId="16" xfId="8" applyNumberFormat="1" applyFont="1" applyFill="1" applyBorder="1" applyAlignment="1">
      <alignment horizontal="center" vertical="top"/>
    </xf>
    <xf numFmtId="1" fontId="15" fillId="0" borderId="0" xfId="8" applyNumberFormat="1" applyFont="1"/>
    <xf numFmtId="172" fontId="23" fillId="0" borderId="0" xfId="8" applyNumberFormat="1" applyFont="1"/>
    <xf numFmtId="172" fontId="38" fillId="0" borderId="0" xfId="8" applyNumberFormat="1" applyFont="1"/>
    <xf numFmtId="0" fontId="15" fillId="0" borderId="22" xfId="8" applyFont="1" applyBorder="1" applyAlignment="1">
      <alignment horizontal="center" vertical="top"/>
    </xf>
    <xf numFmtId="0" fontId="15" fillId="0" borderId="20" xfId="8" applyFont="1" applyBorder="1" applyAlignment="1">
      <alignment horizontal="center" vertical="top"/>
    </xf>
    <xf numFmtId="0" fontId="39" fillId="0" borderId="18" xfId="8" applyFont="1" applyBorder="1" applyAlignment="1">
      <alignment horizontal="left" vertical="top" wrapText="1"/>
    </xf>
    <xf numFmtId="38" fontId="15" fillId="0" borderId="18" xfId="8" applyNumberFormat="1" applyFont="1" applyBorder="1" applyAlignment="1">
      <alignment horizontal="right" vertical="top"/>
    </xf>
    <xf numFmtId="0" fontId="15" fillId="0" borderId="18" xfId="8" applyFont="1" applyBorder="1" applyAlignment="1">
      <alignment horizontal="left" vertical="top"/>
    </xf>
    <xf numFmtId="44" fontId="15" fillId="0" borderId="18" xfId="6" applyNumberFormat="1" applyFont="1" applyBorder="1" applyAlignment="1">
      <alignment horizontal="left" vertical="top"/>
    </xf>
    <xf numFmtId="171" fontId="15" fillId="4" borderId="19" xfId="8" applyNumberFormat="1" applyFont="1" applyFill="1" applyBorder="1" applyAlignment="1">
      <alignment horizontal="center" vertical="top"/>
    </xf>
    <xf numFmtId="0" fontId="40" fillId="0" borderId="18" xfId="8" applyFont="1" applyBorder="1" applyAlignment="1">
      <alignment horizontal="left" vertical="top" wrapText="1"/>
    </xf>
    <xf numFmtId="0" fontId="15" fillId="0" borderId="20" xfId="8" applyFont="1" applyFill="1" applyBorder="1" applyAlignment="1">
      <alignment horizontal="center"/>
    </xf>
    <xf numFmtId="44" fontId="15" fillId="0" borderId="20" xfId="6" applyNumberFormat="1" applyFont="1" applyBorder="1" applyAlignment="1">
      <alignment horizontal="center"/>
    </xf>
    <xf numFmtId="171" fontId="15" fillId="10" borderId="19" xfId="8" applyNumberFormat="1" applyFont="1" applyFill="1" applyBorder="1" applyAlignment="1">
      <alignment horizontal="center"/>
    </xf>
    <xf numFmtId="0" fontId="15" fillId="0" borderId="0" xfId="8" applyFont="1" applyAlignment="1">
      <alignment wrapText="1"/>
    </xf>
    <xf numFmtId="172" fontId="15" fillId="0" borderId="0" xfId="8" applyNumberFormat="1" applyFont="1"/>
    <xf numFmtId="0" fontId="15" fillId="0" borderId="22" xfId="8" applyFont="1" applyBorder="1" applyAlignment="1">
      <alignment horizontal="center" vertical="center"/>
    </xf>
    <xf numFmtId="0" fontId="15" fillId="0" borderId="20" xfId="8" applyFont="1" applyBorder="1" applyAlignment="1">
      <alignment horizontal="center" vertical="center"/>
    </xf>
    <xf numFmtId="0" fontId="37" fillId="0" borderId="18" xfId="8" applyFont="1" applyBorder="1" applyAlignment="1">
      <alignment horizontal="left" vertical="center" wrapText="1"/>
    </xf>
    <xf numFmtId="0" fontId="37" fillId="0" borderId="0" xfId="8" applyFont="1" applyBorder="1" applyAlignment="1">
      <alignment horizontal="left" vertical="top" wrapText="1"/>
    </xf>
    <xf numFmtId="0" fontId="15" fillId="0" borderId="20" xfId="8" applyFont="1" applyBorder="1" applyAlignment="1">
      <alignment horizontal="center"/>
    </xf>
    <xf numFmtId="0" fontId="37" fillId="0" borderId="18" xfId="8" applyFont="1" applyFill="1" applyBorder="1" applyAlignment="1">
      <alignment horizontal="left" vertical="center" wrapText="1"/>
    </xf>
    <xf numFmtId="0" fontId="40" fillId="0" borderId="0" xfId="8" applyFont="1" applyBorder="1" applyAlignment="1">
      <alignment horizontal="left" vertical="top" wrapText="1"/>
    </xf>
    <xf numFmtId="38" fontId="15" fillId="0" borderId="20" xfId="8" applyNumberFormat="1" applyFont="1" applyBorder="1" applyAlignment="1">
      <alignment horizontal="center" vertical="top"/>
    </xf>
    <xf numFmtId="171" fontId="15" fillId="4" borderId="19" xfId="8" applyNumberFormat="1" applyFont="1" applyFill="1" applyBorder="1" applyAlignment="1">
      <alignment horizontal="center" vertical="center"/>
    </xf>
    <xf numFmtId="0" fontId="15" fillId="0" borderId="0" xfId="8" applyFont="1" applyBorder="1" applyAlignment="1">
      <alignment horizontal="left" vertical="top" wrapText="1"/>
    </xf>
    <xf numFmtId="38" fontId="15" fillId="0" borderId="20" xfId="8" applyNumberFormat="1" applyFont="1" applyBorder="1" applyAlignment="1">
      <alignment horizontal="right" vertical="top"/>
    </xf>
    <xf numFmtId="0" fontId="15" fillId="0" borderId="20" xfId="8" applyFont="1" applyBorder="1" applyAlignment="1">
      <alignment horizontal="left" vertical="top"/>
    </xf>
    <xf numFmtId="44" fontId="23" fillId="0" borderId="20" xfId="6" applyFont="1" applyBorder="1" applyAlignment="1">
      <alignment horizontal="left" vertical="top"/>
    </xf>
    <xf numFmtId="0" fontId="15" fillId="0" borderId="27" xfId="8" applyFont="1" applyBorder="1" applyAlignment="1">
      <alignment horizontal="center" vertical="top"/>
    </xf>
    <xf numFmtId="0" fontId="15" fillId="0" borderId="62" xfId="8" applyFont="1" applyBorder="1" applyAlignment="1">
      <alignment horizontal="left" vertical="top" wrapText="1"/>
    </xf>
    <xf numFmtId="38" fontId="15" fillId="0" borderId="27" xfId="8" applyNumberFormat="1" applyFont="1" applyBorder="1" applyAlignment="1">
      <alignment horizontal="right" vertical="top"/>
    </xf>
    <xf numFmtId="0" fontId="15" fillId="0" borderId="27" xfId="8" applyFont="1" applyBorder="1" applyAlignment="1">
      <alignment horizontal="left" vertical="top"/>
    </xf>
    <xf numFmtId="44" fontId="15" fillId="0" borderId="27" xfId="9" applyNumberFormat="1" applyFont="1" applyBorder="1" applyAlignment="1">
      <alignment horizontal="left" vertical="top"/>
    </xf>
    <xf numFmtId="173" fontId="15" fillId="4" borderId="23" xfId="9" applyNumberFormat="1" applyFont="1" applyFill="1" applyBorder="1" applyAlignment="1">
      <alignment horizontal="center" vertical="top"/>
    </xf>
    <xf numFmtId="0" fontId="41" fillId="0" borderId="60" xfId="8" applyFont="1" applyBorder="1" applyAlignment="1">
      <alignment horizontal="left" vertical="top"/>
    </xf>
    <xf numFmtId="0" fontId="41" fillId="0" borderId="10" xfId="8" applyFont="1" applyBorder="1" applyAlignment="1">
      <alignment horizontal="center" vertical="top"/>
    </xf>
    <xf numFmtId="0" fontId="15" fillId="0" borderId="63" xfId="8" applyFont="1" applyFill="1" applyBorder="1" applyAlignment="1">
      <alignment vertical="top"/>
    </xf>
    <xf numFmtId="38" fontId="15" fillId="0" borderId="10" xfId="8" applyNumberFormat="1" applyFont="1" applyFill="1" applyBorder="1" applyAlignment="1">
      <alignment horizontal="right" vertical="top"/>
    </xf>
    <xf numFmtId="0" fontId="15" fillId="0" borderId="10" xfId="8" applyFont="1" applyFill="1" applyBorder="1" applyAlignment="1">
      <alignment horizontal="left" vertical="top"/>
    </xf>
    <xf numFmtId="44" fontId="15" fillId="0" borderId="10" xfId="6" applyNumberFormat="1" applyFont="1" applyFill="1" applyBorder="1" applyAlignment="1">
      <alignment horizontal="left" vertical="top"/>
    </xf>
    <xf numFmtId="171" fontId="15" fillId="0" borderId="11" xfId="8" applyNumberFormat="1" applyFont="1" applyFill="1" applyBorder="1" applyAlignment="1">
      <alignment horizontal="center" vertical="top"/>
    </xf>
    <xf numFmtId="0" fontId="15" fillId="0" borderId="64" xfId="8" applyFont="1" applyBorder="1" applyAlignment="1">
      <alignment horizontal="center" vertical="top"/>
    </xf>
    <xf numFmtId="0" fontId="15" fillId="0" borderId="0" xfId="8" applyFont="1" applyBorder="1" applyAlignment="1">
      <alignment horizontal="center" vertical="top"/>
    </xf>
    <xf numFmtId="0" fontId="15" fillId="0" borderId="65" xfId="8" applyFont="1" applyFill="1" applyBorder="1" applyAlignment="1">
      <alignment vertical="top"/>
    </xf>
    <xf numFmtId="38" fontId="15" fillId="0" borderId="0" xfId="8" applyNumberFormat="1" applyFont="1" applyFill="1" applyBorder="1" applyAlignment="1">
      <alignment horizontal="right" vertical="top"/>
    </xf>
    <xf numFmtId="0" fontId="15" fillId="0" borderId="0" xfId="8" applyFont="1" applyFill="1" applyBorder="1" applyAlignment="1">
      <alignment horizontal="left" vertical="top"/>
    </xf>
    <xf numFmtId="44" fontId="15" fillId="0" borderId="0" xfId="6" applyNumberFormat="1" applyFont="1" applyFill="1" applyBorder="1" applyAlignment="1">
      <alignment horizontal="left" vertical="top"/>
    </xf>
    <xf numFmtId="171" fontId="15" fillId="0" borderId="5" xfId="8" applyNumberFormat="1" applyFont="1" applyFill="1" applyBorder="1" applyAlignment="1">
      <alignment horizontal="center" vertical="top"/>
    </xf>
    <xf numFmtId="0" fontId="15" fillId="0" borderId="66" xfId="8" applyFont="1" applyBorder="1" applyAlignment="1">
      <alignment horizontal="center" vertical="top"/>
    </xf>
    <xf numFmtId="0" fontId="15" fillId="0" borderId="67" xfId="8" applyFont="1" applyFill="1" applyBorder="1" applyAlignment="1">
      <alignment vertical="top"/>
    </xf>
    <xf numFmtId="38" fontId="15" fillId="0" borderId="12" xfId="8" applyNumberFormat="1" applyFont="1" applyFill="1" applyBorder="1" applyAlignment="1">
      <alignment horizontal="right" vertical="top"/>
    </xf>
    <xf numFmtId="0" fontId="15" fillId="0" borderId="12" xfId="8" applyFont="1" applyFill="1" applyBorder="1" applyAlignment="1">
      <alignment horizontal="left" vertical="top"/>
    </xf>
    <xf numFmtId="44" fontId="15" fillId="0" borderId="12" xfId="6" applyNumberFormat="1" applyFont="1" applyFill="1" applyBorder="1" applyAlignment="1">
      <alignment horizontal="left" vertical="top"/>
    </xf>
    <xf numFmtId="171" fontId="15" fillId="0" borderId="13" xfId="8" applyNumberFormat="1" applyFont="1" applyFill="1" applyBorder="1" applyAlignment="1">
      <alignment horizontal="center" vertical="top"/>
    </xf>
    <xf numFmtId="0" fontId="15" fillId="4" borderId="68" xfId="8" applyFont="1" applyFill="1" applyBorder="1" applyAlignment="1">
      <alignment horizontal="center" vertical="top"/>
    </xf>
    <xf numFmtId="0" fontId="15" fillId="4" borderId="53" xfId="8" applyFont="1" applyFill="1" applyBorder="1" applyAlignment="1">
      <alignment horizontal="center" vertical="top"/>
    </xf>
    <xf numFmtId="0" fontId="15" fillId="4" borderId="53" xfId="8" applyFont="1" applyFill="1" applyBorder="1" applyAlignment="1">
      <alignment vertical="top"/>
    </xf>
    <xf numFmtId="38" fontId="15" fillId="4" borderId="24" xfId="8" applyNumberFormat="1" applyFont="1" applyFill="1" applyBorder="1" applyAlignment="1">
      <alignment horizontal="right" vertical="top"/>
    </xf>
    <xf numFmtId="0" fontId="15" fillId="4" borderId="24" xfId="8" applyFont="1" applyFill="1" applyBorder="1" applyAlignment="1">
      <alignment horizontal="left" vertical="top"/>
    </xf>
    <xf numFmtId="44" fontId="15" fillId="4" borderId="24" xfId="6" applyNumberFormat="1" applyFont="1" applyFill="1" applyBorder="1" applyAlignment="1">
      <alignment horizontal="left" vertical="top"/>
    </xf>
    <xf numFmtId="171" fontId="15" fillId="4" borderId="25" xfId="8" applyNumberFormat="1" applyFont="1" applyFill="1" applyBorder="1" applyAlignment="1">
      <alignment horizontal="center" vertical="top"/>
    </xf>
    <xf numFmtId="0" fontId="15" fillId="4" borderId="22" xfId="8" applyFont="1" applyFill="1" applyBorder="1" applyAlignment="1">
      <alignment horizontal="center" vertical="top"/>
    </xf>
    <xf numFmtId="0" fontId="15" fillId="4" borderId="26" xfId="8" applyFont="1" applyFill="1" applyBorder="1" applyAlignment="1">
      <alignment horizontal="center" vertical="top"/>
    </xf>
    <xf numFmtId="0" fontId="15" fillId="4" borderId="0" xfId="8" applyFont="1" applyFill="1" applyBorder="1" applyAlignment="1">
      <alignment vertical="top"/>
    </xf>
    <xf numFmtId="10" fontId="24" fillId="4" borderId="26" xfId="7" applyNumberFormat="1" applyFont="1" applyFill="1" applyBorder="1" applyAlignment="1">
      <alignment horizontal="right" vertical="top"/>
    </xf>
    <xf numFmtId="0" fontId="15" fillId="4" borderId="0" xfId="8" applyFont="1" applyFill="1" applyBorder="1" applyAlignment="1">
      <alignment horizontal="left" vertical="top"/>
    </xf>
    <xf numFmtId="44" fontId="15" fillId="4" borderId="26" xfId="6" applyNumberFormat="1" applyFont="1" applyFill="1" applyBorder="1" applyAlignment="1">
      <alignment horizontal="left" vertical="top"/>
    </xf>
    <xf numFmtId="171" fontId="15" fillId="4" borderId="5" xfId="8" applyNumberFormat="1" applyFont="1" applyFill="1" applyBorder="1" applyAlignment="1">
      <alignment horizontal="center" vertical="top"/>
    </xf>
    <xf numFmtId="0" fontId="15" fillId="10" borderId="20" xfId="8" applyFont="1" applyFill="1" applyBorder="1" applyAlignment="1">
      <alignment horizontal="center"/>
    </xf>
    <xf numFmtId="0" fontId="15" fillId="10" borderId="0" xfId="8" applyFont="1" applyFill="1" applyBorder="1" applyAlignment="1">
      <alignment vertical="top"/>
    </xf>
    <xf numFmtId="38" fontId="15" fillId="10" borderId="20" xfId="8" applyNumberFormat="1" applyFont="1" applyFill="1" applyBorder="1" applyAlignment="1">
      <alignment horizontal="right" vertical="top"/>
    </xf>
    <xf numFmtId="0" fontId="15" fillId="10" borderId="0" xfId="8" applyFont="1" applyFill="1" applyBorder="1" applyAlignment="1">
      <alignment horizontal="left" vertical="top"/>
    </xf>
    <xf numFmtId="44" fontId="15" fillId="10" borderId="20" xfId="6" applyNumberFormat="1" applyFont="1" applyFill="1" applyBorder="1" applyAlignment="1">
      <alignment horizontal="left" vertical="top"/>
    </xf>
    <xf numFmtId="171" fontId="15" fillId="10" borderId="0" xfId="8" applyNumberFormat="1" applyFont="1" applyFill="1" applyBorder="1" applyAlignment="1">
      <alignment horizontal="center" vertical="top"/>
    </xf>
    <xf numFmtId="0" fontId="15" fillId="4" borderId="20" xfId="8" applyFont="1" applyFill="1" applyBorder="1" applyAlignment="1">
      <alignment horizontal="center" vertical="top"/>
    </xf>
    <xf numFmtId="10" fontId="15" fillId="4" borderId="20" xfId="7" applyNumberFormat="1" applyFont="1" applyFill="1" applyBorder="1" applyAlignment="1">
      <alignment horizontal="right" vertical="top"/>
    </xf>
    <xf numFmtId="44" fontId="15" fillId="4" borderId="20" xfId="6" applyNumberFormat="1" applyFont="1" applyFill="1" applyBorder="1" applyAlignment="1">
      <alignment horizontal="left" vertical="top"/>
    </xf>
    <xf numFmtId="0" fontId="15" fillId="4" borderId="17" xfId="8" applyFont="1" applyFill="1" applyBorder="1" applyAlignment="1">
      <alignment horizontal="center" vertical="top"/>
    </xf>
    <xf numFmtId="0" fontId="15" fillId="4" borderId="27" xfId="8" applyFont="1" applyFill="1" applyBorder="1" applyAlignment="1">
      <alignment horizontal="center" vertical="top"/>
    </xf>
    <xf numFmtId="0" fontId="15" fillId="4" borderId="12" xfId="8" applyFont="1" applyFill="1" applyBorder="1" applyAlignment="1">
      <alignment vertical="top"/>
    </xf>
    <xf numFmtId="10" fontId="15" fillId="4" borderId="27" xfId="8" applyNumberFormat="1" applyFont="1" applyFill="1" applyBorder="1" applyAlignment="1">
      <alignment horizontal="right" vertical="top"/>
    </xf>
    <xf numFmtId="0" fontId="15" fillId="4" borderId="27" xfId="8" applyFont="1" applyFill="1" applyBorder="1" applyAlignment="1">
      <alignment horizontal="left" vertical="top"/>
    </xf>
    <xf numFmtId="44" fontId="15" fillId="4" borderId="27" xfId="6" applyNumberFormat="1" applyFont="1" applyFill="1" applyBorder="1" applyAlignment="1">
      <alignment horizontal="left" vertical="top"/>
    </xf>
    <xf numFmtId="171" fontId="15" fillId="4" borderId="28" xfId="8" applyNumberFormat="1" applyFont="1" applyFill="1" applyBorder="1" applyAlignment="1">
      <alignment horizontal="center" vertical="top"/>
    </xf>
    <xf numFmtId="0" fontId="16" fillId="0" borderId="11" xfId="8" applyFont="1" applyBorder="1" applyAlignment="1">
      <alignment horizontal="center" vertical="top" wrapText="1"/>
    </xf>
    <xf numFmtId="0" fontId="16" fillId="0" borderId="69" xfId="8" applyFont="1" applyBorder="1" applyAlignment="1">
      <alignment horizontal="center" vertical="top" wrapText="1"/>
    </xf>
    <xf numFmtId="171" fontId="16" fillId="11" borderId="8" xfId="8" applyNumberFormat="1" applyFont="1" applyFill="1" applyBorder="1" applyAlignment="1">
      <alignment horizontal="center" vertical="top"/>
    </xf>
    <xf numFmtId="0" fontId="16" fillId="0" borderId="5" xfId="8" applyFont="1" applyBorder="1" applyAlignment="1">
      <alignment horizontal="center" vertical="top" wrapText="1"/>
    </xf>
    <xf numFmtId="0" fontId="16" fillId="0" borderId="14" xfId="8" applyFont="1" applyBorder="1" applyAlignment="1">
      <alignment horizontal="center" vertical="top" wrapText="1"/>
    </xf>
    <xf numFmtId="0" fontId="16" fillId="0" borderId="7" xfId="8" applyFont="1" applyBorder="1" applyAlignment="1">
      <alignment horizontal="center" vertical="top" wrapText="1"/>
    </xf>
    <xf numFmtId="44" fontId="16" fillId="0" borderId="29" xfId="8" applyNumberFormat="1" applyFont="1" applyBorder="1" applyAlignment="1">
      <alignment horizontal="center" vertical="top" wrapText="1"/>
    </xf>
    <xf numFmtId="171" fontId="16" fillId="0" borderId="0" xfId="8" applyNumberFormat="1" applyFont="1" applyFill="1" applyBorder="1" applyAlignment="1">
      <alignment horizontal="center" vertical="top"/>
    </xf>
    <xf numFmtId="0" fontId="16" fillId="0" borderId="0" xfId="8" applyFont="1" applyBorder="1" applyAlignment="1">
      <alignment horizontal="center" vertical="top"/>
    </xf>
    <xf numFmtId="0" fontId="16" fillId="0" borderId="0" xfId="8" applyFont="1" applyBorder="1" applyAlignment="1">
      <alignment horizontal="center" vertical="top" wrapText="1"/>
    </xf>
    <xf numFmtId="44" fontId="16" fillId="0" borderId="0" xfId="8" applyNumberFormat="1" applyFont="1" applyBorder="1" applyAlignment="1">
      <alignment horizontal="center" vertical="top" wrapText="1"/>
    </xf>
    <xf numFmtId="171" fontId="16" fillId="0" borderId="0" xfId="8" applyNumberFormat="1" applyFont="1" applyBorder="1" applyAlignment="1">
      <alignment horizontal="center" vertical="top"/>
    </xf>
    <xf numFmtId="171" fontId="15" fillId="0" borderId="0" xfId="8" applyNumberFormat="1" applyFont="1"/>
    <xf numFmtId="0" fontId="15" fillId="0" borderId="0" xfId="8" applyFont="1" applyAlignment="1">
      <alignment horizontal="center"/>
    </xf>
    <xf numFmtId="44" fontId="15" fillId="0" borderId="0" xfId="8" applyNumberFormat="1" applyFont="1"/>
    <xf numFmtId="2" fontId="15" fillId="0" borderId="0" xfId="0" applyNumberFormat="1" applyFont="1" applyBorder="1"/>
    <xf numFmtId="0" fontId="15" fillId="0" borderId="0" xfId="0" applyFont="1" applyBorder="1" applyAlignment="1">
      <alignment horizontal="right"/>
    </xf>
    <xf numFmtId="0" fontId="0" fillId="0" borderId="70" xfId="0" applyFill="1" applyBorder="1" applyAlignment="1">
      <alignment horizontal="left" vertical="top" wrapText="1"/>
    </xf>
    <xf numFmtId="0" fontId="17" fillId="5" borderId="12" xfId="0" applyFont="1" applyFill="1" applyBorder="1" applyAlignment="1">
      <alignment horizontal="center" vertical="top" wrapText="1"/>
    </xf>
    <xf numFmtId="38" fontId="15" fillId="0" borderId="0" xfId="0" applyNumberFormat="1" applyFont="1" applyBorder="1" applyAlignment="1">
      <alignment horizontal="center" vertical="top"/>
    </xf>
    <xf numFmtId="0" fontId="15" fillId="0" borderId="0" xfId="0" applyFont="1" applyBorder="1" applyAlignment="1">
      <alignment horizontal="center" vertical="top"/>
    </xf>
    <xf numFmtId="44" fontId="15" fillId="0" borderId="0" xfId="2" applyNumberFormat="1" applyFont="1" applyBorder="1" applyAlignment="1">
      <alignment horizontal="center" vertical="top"/>
    </xf>
    <xf numFmtId="171" fontId="15" fillId="0" borderId="5" xfId="0" applyNumberFormat="1" applyFont="1" applyBorder="1" applyAlignment="1">
      <alignment horizontal="center" vertical="top"/>
    </xf>
    <xf numFmtId="38" fontId="15" fillId="0" borderId="0" xfId="0" applyNumberFormat="1" applyFont="1" applyBorder="1" applyAlignment="1">
      <alignment horizontal="right" vertical="top"/>
    </xf>
    <xf numFmtId="0" fontId="15" fillId="0" borderId="0" xfId="0" applyFont="1" applyBorder="1" applyAlignment="1">
      <alignment horizontal="left" vertical="top"/>
    </xf>
    <xf numFmtId="44" fontId="15" fillId="0" borderId="0" xfId="2" applyNumberFormat="1" applyFont="1" applyBorder="1" applyAlignment="1">
      <alignment horizontal="left" vertical="top"/>
    </xf>
    <xf numFmtId="171" fontId="15" fillId="4" borderId="0" xfId="0" applyNumberFormat="1" applyFont="1" applyFill="1" applyBorder="1" applyAlignment="1">
      <alignment horizontal="center" vertical="top"/>
    </xf>
    <xf numFmtId="0" fontId="15" fillId="0" borderId="0" xfId="0" applyFont="1" applyFill="1" applyBorder="1" applyAlignment="1">
      <alignment horizontal="center"/>
    </xf>
    <xf numFmtId="44" fontId="15" fillId="0" borderId="0" xfId="2" applyNumberFormat="1" applyFont="1" applyBorder="1" applyAlignment="1">
      <alignment horizontal="center"/>
    </xf>
    <xf numFmtId="171" fontId="15" fillId="10" borderId="0" xfId="0" applyNumberFormat="1" applyFont="1" applyFill="1" applyBorder="1" applyAlignment="1">
      <alignment horizontal="center"/>
    </xf>
    <xf numFmtId="44" fontId="16" fillId="0" borderId="0" xfId="2" applyNumberFormat="1" applyFont="1" applyBorder="1" applyAlignment="1">
      <alignment horizontal="center" wrapText="1"/>
    </xf>
    <xf numFmtId="171" fontId="16" fillId="10" borderId="0" xfId="0" applyNumberFormat="1" applyFont="1" applyFill="1" applyBorder="1" applyAlignment="1">
      <alignment horizontal="center"/>
    </xf>
    <xf numFmtId="0" fontId="22" fillId="0" borderId="0" xfId="4" applyFont="1" applyBorder="1" applyAlignment="1">
      <alignment horizontal="center"/>
    </xf>
    <xf numFmtId="171" fontId="15" fillId="4" borderId="0" xfId="0" applyNumberFormat="1" applyFont="1" applyFill="1" applyBorder="1" applyAlignment="1">
      <alignment horizontal="center" vertical="center"/>
    </xf>
    <xf numFmtId="44" fontId="23" fillId="0" borderId="0" xfId="2" applyFont="1" applyBorder="1" applyAlignment="1">
      <alignment horizontal="left" vertical="top"/>
    </xf>
    <xf numFmtId="44" fontId="16" fillId="0" borderId="0" xfId="2" applyFont="1" applyBorder="1" applyAlignment="1">
      <alignment horizontal="right" vertical="top"/>
    </xf>
    <xf numFmtId="173" fontId="16" fillId="4" borderId="0" xfId="1" applyNumberFormat="1" applyFont="1" applyFill="1" applyBorder="1" applyAlignment="1">
      <alignment horizontal="center" vertical="top"/>
    </xf>
    <xf numFmtId="9" fontId="15" fillId="0" borderId="0" xfId="0" applyNumberFormat="1" applyFont="1" applyFill="1" applyBorder="1" applyAlignment="1">
      <alignment horizontal="center"/>
    </xf>
    <xf numFmtId="171" fontId="15" fillId="0" borderId="0" xfId="0" applyNumberFormat="1" applyFont="1" applyFill="1" applyBorder="1" applyAlignment="1">
      <alignment horizontal="center" vertical="top"/>
    </xf>
    <xf numFmtId="38" fontId="15" fillId="4" borderId="0" xfId="0" applyNumberFormat="1" applyFont="1" applyFill="1" applyBorder="1" applyAlignment="1">
      <alignment horizontal="right" vertical="top"/>
    </xf>
    <xf numFmtId="44" fontId="15" fillId="4" borderId="0" xfId="2" applyNumberFormat="1" applyFont="1" applyFill="1" applyBorder="1" applyAlignment="1">
      <alignment horizontal="left" vertical="top"/>
    </xf>
    <xf numFmtId="10" fontId="24" fillId="4" borderId="0" xfId="3" applyNumberFormat="1" applyFont="1" applyFill="1" applyBorder="1" applyAlignment="1">
      <alignment horizontal="right" vertical="top"/>
    </xf>
    <xf numFmtId="10" fontId="15" fillId="4" borderId="0" xfId="3" applyNumberFormat="1" applyFont="1" applyFill="1" applyBorder="1" applyAlignment="1">
      <alignment horizontal="right" vertical="top"/>
    </xf>
    <xf numFmtId="10" fontId="15" fillId="4" borderId="0" xfId="0" applyNumberFormat="1" applyFont="1" applyFill="1" applyBorder="1" applyAlignment="1">
      <alignment horizontal="right" vertical="top"/>
    </xf>
    <xf numFmtId="171" fontId="16" fillId="11" borderId="0" xfId="0" applyNumberFormat="1" applyFont="1" applyFill="1" applyBorder="1" applyAlignment="1">
      <alignment horizontal="center" vertical="top"/>
    </xf>
    <xf numFmtId="38" fontId="16" fillId="0" borderId="21" xfId="0" applyNumberFormat="1" applyFont="1" applyBorder="1" applyAlignment="1">
      <alignment horizontal="center" vertical="top"/>
    </xf>
    <xf numFmtId="38" fontId="15" fillId="0" borderId="22" xfId="0" applyNumberFormat="1" applyFont="1" applyBorder="1" applyAlignment="1">
      <alignment horizontal="center" vertical="top"/>
    </xf>
    <xf numFmtId="38" fontId="15" fillId="0" borderId="17" xfId="0" applyNumberFormat="1" applyFont="1" applyBorder="1" applyAlignment="1">
      <alignment horizontal="right" vertical="top"/>
    </xf>
    <xf numFmtId="0" fontId="15" fillId="0" borderId="12" xfId="0" applyFont="1" applyBorder="1" applyAlignment="1">
      <alignment horizontal="left" vertical="top"/>
    </xf>
    <xf numFmtId="44" fontId="15" fillId="0" borderId="12" xfId="2" applyNumberFormat="1" applyFont="1" applyBorder="1" applyAlignment="1">
      <alignment horizontal="left" vertical="top"/>
    </xf>
    <xf numFmtId="171" fontId="15" fillId="4" borderId="13" xfId="0" applyNumberFormat="1" applyFont="1" applyFill="1" applyBorder="1" applyAlignment="1">
      <alignment horizontal="center" vertical="top"/>
    </xf>
    <xf numFmtId="0" fontId="6" fillId="0" borderId="0" xfId="0" applyFont="1" applyFill="1" applyBorder="1" applyAlignment="1">
      <alignment horizontal="left" vertical="top" wrapText="1"/>
    </xf>
    <xf numFmtId="165" fontId="4" fillId="0" borderId="0" xfId="0" applyNumberFormat="1" applyFont="1" applyFill="1" applyBorder="1" applyAlignment="1">
      <alignment horizontal="left" vertical="top" wrapText="1"/>
    </xf>
    <xf numFmtId="0" fontId="5" fillId="0" borderId="0"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0" xfId="0" applyFont="1" applyFill="1" applyBorder="1" applyAlignment="1">
      <alignment horizontal="center" vertical="top" wrapText="1"/>
    </xf>
    <xf numFmtId="166" fontId="4" fillId="0" borderId="0" xfId="0" applyNumberFormat="1" applyFont="1" applyFill="1" applyBorder="1" applyAlignment="1">
      <alignment horizontal="left" vertical="top" wrapText="1"/>
    </xf>
    <xf numFmtId="165" fontId="8" fillId="0" borderId="0" xfId="0" applyNumberFormat="1" applyFont="1" applyFill="1" applyBorder="1" applyAlignment="1">
      <alignment horizontal="left" vertical="top" wrapText="1"/>
    </xf>
    <xf numFmtId="166" fontId="8" fillId="0" borderId="0" xfId="0" applyNumberFormat="1" applyFont="1" applyFill="1" applyBorder="1" applyAlignment="1">
      <alignment horizontal="left" vertical="top" wrapText="1"/>
    </xf>
    <xf numFmtId="0" fontId="3" fillId="0" borderId="0" xfId="0" applyFont="1" applyFill="1" applyBorder="1" applyAlignment="1">
      <alignment horizontal="right" vertical="top" wrapText="1"/>
    </xf>
    <xf numFmtId="0" fontId="3" fillId="2" borderId="2" xfId="0" applyFont="1" applyFill="1" applyBorder="1" applyAlignment="1">
      <alignment horizontal="left" vertical="top" wrapText="1"/>
    </xf>
    <xf numFmtId="0" fontId="10" fillId="2" borderId="2" xfId="0" applyFont="1" applyFill="1" applyBorder="1" applyAlignment="1">
      <alignment horizontal="center" vertical="top" wrapText="1"/>
    </xf>
    <xf numFmtId="0" fontId="42" fillId="2" borderId="71" xfId="0" applyFont="1" applyFill="1" applyBorder="1" applyAlignment="1">
      <alignment horizontal="center" vertical="top" wrapText="1"/>
    </xf>
    <xf numFmtId="164" fontId="4" fillId="0" borderId="34" xfId="0" applyNumberFormat="1" applyFont="1" applyFill="1" applyBorder="1" applyAlignment="1">
      <alignment horizontal="left" vertical="top" wrapText="1"/>
    </xf>
    <xf numFmtId="0" fontId="3" fillId="0" borderId="34" xfId="0" applyFont="1" applyFill="1" applyBorder="1" applyAlignment="1">
      <alignment horizontal="left" vertical="top" wrapText="1"/>
    </xf>
    <xf numFmtId="0" fontId="0" fillId="0" borderId="34" xfId="0" applyFill="1" applyBorder="1" applyAlignment="1">
      <alignment horizontal="left" vertical="top" wrapText="1"/>
    </xf>
    <xf numFmtId="165" fontId="4" fillId="0" borderId="34" xfId="0" applyNumberFormat="1" applyFont="1" applyFill="1" applyBorder="1" applyAlignment="1">
      <alignment horizontal="left" vertical="top" wrapText="1"/>
    </xf>
    <xf numFmtId="0" fontId="5" fillId="0" borderId="34" xfId="0" applyFont="1" applyFill="1" applyBorder="1" applyAlignment="1">
      <alignment horizontal="left" vertical="top" wrapText="1"/>
    </xf>
    <xf numFmtId="0" fontId="43" fillId="0" borderId="0" xfId="0" applyFont="1" applyFill="1" applyBorder="1" applyAlignment="1">
      <alignment horizontal="left" vertical="top"/>
    </xf>
    <xf numFmtId="0" fontId="2" fillId="0" borderId="1" xfId="0" applyFont="1" applyFill="1" applyBorder="1" applyAlignment="1">
      <alignment horizontal="left" vertical="top" wrapText="1"/>
    </xf>
    <xf numFmtId="0" fontId="45" fillId="0" borderId="0" xfId="0" applyFont="1" applyFill="1" applyBorder="1" applyAlignment="1">
      <alignment horizontal="left" vertical="top"/>
    </xf>
    <xf numFmtId="0" fontId="46" fillId="0" borderId="0" xfId="0" applyFont="1" applyFill="1" applyBorder="1" applyAlignment="1">
      <alignment horizontal="left" vertical="top"/>
    </xf>
    <xf numFmtId="2" fontId="45" fillId="0" borderId="0" xfId="0" applyNumberFormat="1" applyFont="1" applyFill="1" applyBorder="1" applyAlignment="1">
      <alignment horizontal="left" vertical="top"/>
    </xf>
    <xf numFmtId="175" fontId="45" fillId="0" borderId="0" xfId="0" applyNumberFormat="1" applyFont="1" applyFill="1" applyBorder="1" applyAlignment="1">
      <alignment horizontal="left" vertical="top"/>
    </xf>
    <xf numFmtId="0" fontId="11" fillId="0" borderId="34" xfId="0" applyFont="1" applyFill="1" applyBorder="1" applyAlignment="1">
      <alignment horizontal="left" vertical="top" wrapText="1"/>
    </xf>
    <xf numFmtId="0" fontId="47" fillId="0" borderId="1" xfId="0" applyFont="1" applyFill="1" applyBorder="1" applyAlignment="1">
      <alignment horizontal="left" vertical="top" wrapText="1"/>
    </xf>
    <xf numFmtId="0" fontId="44" fillId="0" borderId="1" xfId="0" applyFont="1" applyFill="1" applyBorder="1" applyAlignment="1">
      <alignment horizontal="left" vertical="top" wrapText="1"/>
    </xf>
    <xf numFmtId="44" fontId="2" fillId="0" borderId="1" xfId="0" applyNumberFormat="1" applyFont="1" applyFill="1" applyBorder="1" applyAlignment="1">
      <alignment horizontal="left" vertical="top" wrapText="1"/>
    </xf>
    <xf numFmtId="44" fontId="0" fillId="0" borderId="1" xfId="0" applyNumberFormat="1" applyFill="1" applyBorder="1" applyAlignment="1">
      <alignment horizontal="left" vertical="top" wrapText="1"/>
    </xf>
    <xf numFmtId="44" fontId="3" fillId="2" borderId="1" xfId="0" applyNumberFormat="1" applyFont="1" applyFill="1" applyBorder="1" applyAlignment="1">
      <alignment horizontal="center" vertical="top" wrapText="1"/>
    </xf>
    <xf numFmtId="44" fontId="3" fillId="0" borderId="1" xfId="0" applyNumberFormat="1" applyFont="1" applyFill="1" applyBorder="1" applyAlignment="1">
      <alignment horizontal="left" vertical="top" wrapText="1"/>
    </xf>
    <xf numFmtId="44" fontId="5" fillId="0" borderId="1" xfId="0" applyNumberFormat="1" applyFont="1" applyFill="1" applyBorder="1" applyAlignment="1">
      <alignment horizontal="left" vertical="top" wrapText="1"/>
    </xf>
    <xf numFmtId="44" fontId="6" fillId="0" borderId="1" xfId="0" applyNumberFormat="1" applyFont="1" applyFill="1" applyBorder="1" applyAlignment="1">
      <alignment horizontal="left" vertical="top" wrapText="1"/>
    </xf>
    <xf numFmtId="44" fontId="10" fillId="0" borderId="1" xfId="0" applyNumberFormat="1" applyFont="1" applyFill="1" applyBorder="1" applyAlignment="1">
      <alignment horizontal="left" vertical="top" wrapText="1"/>
    </xf>
    <xf numFmtId="44" fontId="47" fillId="0" borderId="1" xfId="0" applyNumberFormat="1" applyFont="1" applyFill="1" applyBorder="1" applyAlignment="1">
      <alignment horizontal="left" vertical="top" wrapText="1"/>
    </xf>
    <xf numFmtId="44" fontId="3" fillId="0" borderId="1" xfId="0" applyNumberFormat="1" applyFont="1" applyFill="1" applyBorder="1" applyAlignment="1">
      <alignment horizontal="right" vertical="top" wrapText="1"/>
    </xf>
    <xf numFmtId="44" fontId="0" fillId="0" borderId="0" xfId="0" applyNumberFormat="1" applyFill="1" applyBorder="1" applyAlignment="1">
      <alignment horizontal="left" vertical="top"/>
    </xf>
    <xf numFmtId="0" fontId="48" fillId="0" borderId="1" xfId="0" applyFont="1" applyFill="1" applyBorder="1" applyAlignment="1">
      <alignment horizontal="left" vertical="top" wrapText="1"/>
    </xf>
    <xf numFmtId="44" fontId="48" fillId="0" borderId="1" xfId="0" applyNumberFormat="1" applyFont="1" applyFill="1" applyBorder="1" applyAlignment="1">
      <alignment horizontal="left" vertical="top" wrapText="1"/>
    </xf>
    <xf numFmtId="0" fontId="44" fillId="0" borderId="0" xfId="0" applyFont="1" applyFill="1" applyBorder="1" applyAlignment="1">
      <alignment horizontal="left" vertical="top"/>
    </xf>
    <xf numFmtId="0" fontId="44" fillId="0" borderId="0" xfId="0" applyFont="1" applyFill="1" applyBorder="1" applyAlignment="1">
      <alignment horizontal="left" vertical="top" wrapText="1"/>
    </xf>
    <xf numFmtId="44" fontId="12" fillId="0" borderId="1" xfId="0" applyNumberFormat="1" applyFont="1" applyFill="1" applyBorder="1" applyAlignment="1">
      <alignment horizontal="left" vertical="top" wrapText="1"/>
    </xf>
    <xf numFmtId="0" fontId="12" fillId="0" borderId="1" xfId="0" applyFont="1" applyFill="1" applyBorder="1" applyAlignment="1">
      <alignment horizontal="left" vertical="top" wrapText="1"/>
    </xf>
    <xf numFmtId="0" fontId="44" fillId="0" borderId="0" xfId="0" applyFont="1" applyFill="1" applyBorder="1" applyAlignment="1">
      <alignment horizontal="left" vertical="top"/>
    </xf>
    <xf numFmtId="0" fontId="5" fillId="0" borderId="34" xfId="0" applyFont="1" applyFill="1" applyBorder="1" applyAlignment="1">
      <alignment horizontal="center" vertical="top" wrapText="1"/>
    </xf>
    <xf numFmtId="0" fontId="45" fillId="13" borderId="0" xfId="0" applyFont="1" applyFill="1" applyBorder="1" applyAlignment="1">
      <alignment horizontal="left" vertical="top"/>
    </xf>
    <xf numFmtId="0" fontId="47" fillId="0" borderId="34" xfId="0" applyFont="1" applyFill="1" applyBorder="1" applyAlignment="1">
      <alignment horizontal="left" vertical="top" wrapText="1"/>
    </xf>
    <xf numFmtId="44" fontId="49" fillId="0" borderId="1" xfId="0" applyNumberFormat="1" applyFont="1" applyFill="1" applyBorder="1" applyAlignment="1">
      <alignment horizontal="left" vertical="top" wrapText="1"/>
    </xf>
    <xf numFmtId="0" fontId="50" fillId="0" borderId="1" xfId="0" applyFont="1" applyFill="1" applyBorder="1" applyAlignment="1">
      <alignment horizontal="left" vertical="top" wrapText="1"/>
    </xf>
    <xf numFmtId="44" fontId="15" fillId="0" borderId="0" xfId="0" applyNumberFormat="1" applyFont="1" applyFill="1" applyBorder="1" applyAlignment="1">
      <alignment horizontal="center"/>
    </xf>
    <xf numFmtId="44" fontId="2" fillId="0" borderId="0" xfId="0" applyNumberFormat="1" applyFont="1" applyFill="1" applyBorder="1" applyAlignment="1">
      <alignment horizontal="left" vertical="top" wrapText="1"/>
    </xf>
    <xf numFmtId="44" fontId="0" fillId="0" borderId="0" xfId="0" applyNumberFormat="1" applyFill="1" applyBorder="1" applyAlignment="1">
      <alignment horizontal="left" vertical="top" wrapText="1"/>
    </xf>
    <xf numFmtId="44" fontId="3" fillId="2" borderId="0" xfId="0" applyNumberFormat="1" applyFont="1" applyFill="1" applyBorder="1" applyAlignment="1">
      <alignment horizontal="center" vertical="top" wrapText="1"/>
    </xf>
    <xf numFmtId="44" fontId="3" fillId="0" borderId="0" xfId="0" applyNumberFormat="1" applyFont="1" applyFill="1" applyBorder="1" applyAlignment="1">
      <alignment horizontal="left" vertical="top" wrapText="1"/>
    </xf>
    <xf numFmtId="44" fontId="5" fillId="0" borderId="0" xfId="0" applyNumberFormat="1" applyFont="1" applyFill="1" applyBorder="1" applyAlignment="1">
      <alignment horizontal="left" vertical="top" wrapText="1"/>
    </xf>
    <xf numFmtId="44" fontId="49" fillId="0" borderId="0" xfId="0" applyNumberFormat="1" applyFont="1" applyFill="1" applyBorder="1" applyAlignment="1">
      <alignment horizontal="left" vertical="top" wrapText="1"/>
    </xf>
    <xf numFmtId="44" fontId="6" fillId="0" borderId="0" xfId="0" applyNumberFormat="1" applyFont="1" applyFill="1" applyBorder="1" applyAlignment="1">
      <alignment horizontal="left" vertical="top" wrapText="1"/>
    </xf>
    <xf numFmtId="44" fontId="10" fillId="0" borderId="0" xfId="0" applyNumberFormat="1" applyFont="1" applyFill="1" applyBorder="1" applyAlignment="1">
      <alignment horizontal="left" vertical="top" wrapText="1"/>
    </xf>
    <xf numFmtId="44" fontId="12" fillId="0" borderId="0" xfId="0" applyNumberFormat="1" applyFont="1" applyFill="1" applyBorder="1" applyAlignment="1">
      <alignment horizontal="left" vertical="top" wrapText="1"/>
    </xf>
    <xf numFmtId="44" fontId="47" fillId="0" borderId="0" xfId="0" applyNumberFormat="1" applyFont="1" applyFill="1" applyBorder="1" applyAlignment="1">
      <alignment horizontal="left" vertical="top" wrapText="1"/>
    </xf>
    <xf numFmtId="44" fontId="48" fillId="0" borderId="0" xfId="0" applyNumberFormat="1" applyFont="1" applyFill="1" applyBorder="1" applyAlignment="1">
      <alignment horizontal="left" vertical="top" wrapText="1"/>
    </xf>
    <xf numFmtId="44" fontId="3" fillId="0" borderId="0" xfId="0" applyNumberFormat="1" applyFont="1" applyFill="1" applyBorder="1" applyAlignment="1">
      <alignment horizontal="right" vertical="top" wrapText="1"/>
    </xf>
    <xf numFmtId="0" fontId="10" fillId="8" borderId="34" xfId="0" applyFont="1" applyFill="1" applyBorder="1" applyAlignment="1">
      <alignment horizontal="right" vertical="top" wrapText="1"/>
    </xf>
    <xf numFmtId="44" fontId="3" fillId="8" borderId="1" xfId="0" applyNumberFormat="1" applyFont="1" applyFill="1" applyBorder="1" applyAlignment="1">
      <alignment horizontal="left" vertical="top" wrapText="1"/>
    </xf>
    <xf numFmtId="0" fontId="0" fillId="8" borderId="34" xfId="0" applyFill="1" applyBorder="1" applyAlignment="1">
      <alignment horizontal="left" vertical="top" wrapText="1"/>
    </xf>
    <xf numFmtId="0" fontId="49" fillId="0" borderId="0" xfId="0" applyFont="1" applyFill="1" applyBorder="1" applyAlignment="1">
      <alignment horizontal="left" vertical="top" wrapText="1"/>
    </xf>
    <xf numFmtId="0" fontId="0" fillId="0" borderId="2" xfId="0" applyFill="1" applyBorder="1" applyAlignment="1">
      <alignment horizontal="left" vertical="top" wrapText="1"/>
    </xf>
    <xf numFmtId="0" fontId="0" fillId="0" borderId="3" xfId="0" applyFill="1" applyBorder="1" applyAlignment="1">
      <alignment horizontal="left" vertical="top" wrapText="1"/>
    </xf>
    <xf numFmtId="0" fontId="0" fillId="0" borderId="4" xfId="0" applyFill="1" applyBorder="1" applyAlignment="1">
      <alignment horizontal="left" vertical="top" wrapText="1"/>
    </xf>
    <xf numFmtId="0" fontId="31" fillId="0" borderId="30" xfId="5" applyFont="1" applyBorder="1" applyAlignment="1">
      <alignment horizontal="center" vertical="center"/>
    </xf>
    <xf numFmtId="0" fontId="31" fillId="0" borderId="32" xfId="5" applyFont="1" applyBorder="1" applyAlignment="1">
      <alignment horizontal="center" vertical="center"/>
    </xf>
    <xf numFmtId="0" fontId="32" fillId="12" borderId="30" xfId="5" applyFont="1" applyFill="1" applyBorder="1" applyAlignment="1">
      <alignment horizontal="center" vertical="center" wrapText="1"/>
    </xf>
    <xf numFmtId="0" fontId="32" fillId="12" borderId="31" xfId="5" applyFont="1" applyFill="1" applyBorder="1" applyAlignment="1">
      <alignment horizontal="center" vertical="center" wrapText="1"/>
    </xf>
    <xf numFmtId="0" fontId="15" fillId="0" borderId="21" xfId="8" applyFont="1" applyBorder="1" applyAlignment="1">
      <alignment horizontal="center" vertical="top" wrapText="1"/>
    </xf>
    <xf numFmtId="0" fontId="15" fillId="0" borderId="17" xfId="8" applyFont="1" applyBorder="1" applyAlignment="1">
      <alignment horizontal="center" vertical="top" wrapText="1"/>
    </xf>
    <xf numFmtId="0" fontId="37" fillId="0" borderId="11" xfId="8" applyFont="1" applyFill="1" applyBorder="1" applyAlignment="1">
      <alignment horizontal="left" vertical="top" wrapText="1"/>
    </xf>
    <xf numFmtId="0" fontId="37" fillId="0" borderId="13" xfId="8" applyFont="1" applyFill="1" applyBorder="1" applyAlignment="1">
      <alignment horizontal="left" vertical="top" wrapText="1"/>
    </xf>
    <xf numFmtId="0" fontId="16" fillId="0" borderId="7" xfId="8" applyFont="1" applyBorder="1" applyAlignment="1">
      <alignment horizontal="right" vertical="top" wrapText="1"/>
    </xf>
    <xf numFmtId="0" fontId="16" fillId="0" borderId="29" xfId="8" applyFont="1" applyBorder="1" applyAlignment="1">
      <alignment horizontal="right" vertical="top" wrapText="1"/>
    </xf>
    <xf numFmtId="0" fontId="15" fillId="4" borderId="33" xfId="8" applyFont="1" applyFill="1" applyBorder="1" applyAlignment="1">
      <alignment horizontal="center" vertical="top" wrapText="1"/>
    </xf>
    <xf numFmtId="0" fontId="15" fillId="4" borderId="32" xfId="8" applyFont="1" applyFill="1" applyBorder="1" applyAlignment="1">
      <alignment horizontal="center" vertical="top" wrapText="1"/>
    </xf>
    <xf numFmtId="0" fontId="15" fillId="4" borderId="31" xfId="8" applyFont="1" applyFill="1" applyBorder="1" applyAlignment="1">
      <alignment horizontal="center" vertical="top" wrapText="1"/>
    </xf>
  </cellXfs>
  <cellStyles count="10">
    <cellStyle name="Comma" xfId="1" builtinId="3"/>
    <cellStyle name="Comma 2" xfId="9" xr:uid="{FE428FA8-1BFD-44F1-9B9E-C110C884E075}"/>
    <cellStyle name="Currency" xfId="2" builtinId="4"/>
    <cellStyle name="Currency 2 3" xfId="6" xr:uid="{6AE5592A-F165-45D2-81B2-82F3EE1B4F98}"/>
    <cellStyle name="Normal" xfId="0" builtinId="0"/>
    <cellStyle name="Normal 2" xfId="8" xr:uid="{31E2DDFC-615E-4B3D-B2C1-5CCD95AD0967}"/>
    <cellStyle name="Normal 2 2" xfId="4" xr:uid="{600B1E00-8B60-4E4E-B2C2-B3DB7B82FA65}"/>
    <cellStyle name="Normal 5" xfId="5" xr:uid="{AC5728F6-FB78-48B4-BD19-F8A68FA34467}"/>
    <cellStyle name="Percent" xfId="3" builtinId="5"/>
    <cellStyle name="Percent 2" xfId="7" xr:uid="{67ED4EE2-D466-4270-B55B-610E053FE68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2698750</xdr:colOff>
      <xdr:row>0</xdr:row>
      <xdr:rowOff>127000</xdr:rowOff>
    </xdr:from>
    <xdr:to>
      <xdr:col>2</xdr:col>
      <xdr:colOff>635866</xdr:colOff>
      <xdr:row>3</xdr:row>
      <xdr:rowOff>107949</xdr:rowOff>
    </xdr:to>
    <xdr:pic>
      <xdr:nvPicPr>
        <xdr:cNvPr id="2" name="Picture 1">
          <a:extLst>
            <a:ext uri="{FF2B5EF4-FFF2-40B4-BE49-F238E27FC236}">
              <a16:creationId xmlns:a16="http://schemas.microsoft.com/office/drawing/2014/main" id="{450C2411-4C03-4CD2-AB0E-4E09AD4C4E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53833" y="127000"/>
          <a:ext cx="2202200" cy="5947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2703175</xdr:colOff>
      <xdr:row>0</xdr:row>
      <xdr:rowOff>190501</xdr:rowOff>
    </xdr:from>
    <xdr:to>
      <xdr:col>2</xdr:col>
      <xdr:colOff>830791</xdr:colOff>
      <xdr:row>4</xdr:row>
      <xdr:rowOff>33866</xdr:rowOff>
    </xdr:to>
    <xdr:pic>
      <xdr:nvPicPr>
        <xdr:cNvPr id="3" name="Picture 2">
          <a:extLst>
            <a:ext uri="{FF2B5EF4-FFF2-40B4-BE49-F238E27FC236}">
              <a16:creationId xmlns:a16="http://schemas.microsoft.com/office/drawing/2014/main" id="{6D7D624F-0C75-4275-9FF2-66273538ED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58258" y="190501"/>
          <a:ext cx="2202200" cy="5947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34</xdr:row>
      <xdr:rowOff>57150</xdr:rowOff>
    </xdr:from>
    <xdr:to>
      <xdr:col>5</xdr:col>
      <xdr:colOff>18745</xdr:colOff>
      <xdr:row>51</xdr:row>
      <xdr:rowOff>18711</xdr:rowOff>
    </xdr:to>
    <xdr:pic>
      <xdr:nvPicPr>
        <xdr:cNvPr id="2" name="Picture 1">
          <a:extLst>
            <a:ext uri="{FF2B5EF4-FFF2-40B4-BE49-F238E27FC236}">
              <a16:creationId xmlns:a16="http://schemas.microsoft.com/office/drawing/2014/main" id="{455BE618-E681-486A-AC82-F08D52969D79}"/>
            </a:ext>
          </a:extLst>
        </xdr:cNvPr>
        <xdr:cNvPicPr>
          <a:picLocks noChangeAspect="1"/>
        </xdr:cNvPicPr>
      </xdr:nvPicPr>
      <xdr:blipFill>
        <a:blip xmlns:r="http://schemas.openxmlformats.org/officeDocument/2006/relationships" r:embed="rId1"/>
        <a:stretch>
          <a:fillRect/>
        </a:stretch>
      </xdr:blipFill>
      <xdr:spPr>
        <a:xfrm>
          <a:off x="276225" y="5495925"/>
          <a:ext cx="2438095" cy="271428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reddiseals.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EB129-FC48-45F1-B9B5-8CD4DF972761}">
  <dimension ref="A1:BC757"/>
  <sheetViews>
    <sheetView tabSelected="1" view="pageBreakPreview" zoomScale="90" zoomScaleNormal="100" zoomScaleSheetLayoutView="90" workbookViewId="0">
      <selection activeCell="B1" sqref="B1"/>
    </sheetView>
  </sheetViews>
  <sheetFormatPr defaultRowHeight="12.75" x14ac:dyDescent="0.2"/>
  <cols>
    <col min="1" max="1" width="8" customWidth="1"/>
    <col min="2" max="2" width="74.6640625" customWidth="1"/>
    <col min="3" max="3" width="13.6640625" customWidth="1"/>
    <col min="4" max="4" width="11.5" style="27" customWidth="1"/>
    <col min="5" max="5" width="14.6640625" style="27" customWidth="1"/>
    <col min="6" max="6" width="14.5" style="84" customWidth="1"/>
    <col min="7" max="7" width="14.83203125" style="27" customWidth="1"/>
    <col min="8" max="8" width="13.1640625" style="27" customWidth="1"/>
    <col min="9" max="9" width="12.5" style="27" customWidth="1"/>
    <col min="10" max="10" width="11.6640625" style="27" customWidth="1"/>
    <col min="11" max="11" width="9.33203125" style="27"/>
    <col min="12" max="12" width="9.5" style="27" customWidth="1"/>
    <col min="13" max="13" width="14.1640625" style="27" customWidth="1"/>
    <col min="14" max="15" width="11.5" style="27" customWidth="1"/>
    <col min="16" max="16" width="11.5" style="27" bestFit="1" customWidth="1"/>
    <col min="17" max="17" width="12.6640625" style="27" bestFit="1" customWidth="1"/>
    <col min="18" max="18" width="9.33203125" style="27"/>
    <col min="19" max="19" width="11.83203125" style="27" customWidth="1"/>
    <col min="20" max="20" width="12.1640625" style="28" customWidth="1"/>
    <col min="21" max="21" width="12" style="29" bestFit="1" customWidth="1"/>
    <col min="22" max="22" width="1" style="27" customWidth="1"/>
    <col min="23" max="23" width="12" style="27" customWidth="1"/>
    <col min="24" max="24" width="11.6640625" style="27" customWidth="1"/>
    <col min="25" max="25" width="12.5" style="27" customWidth="1"/>
    <col min="26" max="37" width="9.33203125" style="27"/>
    <col min="38" max="38" width="11.33203125" style="27" customWidth="1"/>
    <col min="39" max="39" width="1" style="27" customWidth="1"/>
    <col min="40" max="40" width="10.6640625" style="27" customWidth="1"/>
    <col min="41" max="43" width="9.33203125" style="27"/>
    <col min="44" max="46" width="10.6640625" style="27" customWidth="1"/>
    <col min="47" max="47" width="9.33203125" style="27"/>
    <col min="48" max="48" width="0.6640625" style="27" customWidth="1"/>
    <col min="49" max="55" width="9.33203125" style="27"/>
  </cols>
  <sheetData>
    <row r="1" spans="1:55" ht="15.95" customHeight="1" thickBot="1" x14ac:dyDescent="0.25">
      <c r="A1" s="1"/>
      <c r="B1" s="401" t="s">
        <v>0</v>
      </c>
      <c r="C1" s="1"/>
      <c r="D1" s="23"/>
      <c r="E1" s="24"/>
      <c r="F1" s="25" t="s">
        <v>358</v>
      </c>
      <c r="G1" s="26">
        <v>0</v>
      </c>
    </row>
    <row r="2" spans="1:55" ht="15.95" customHeight="1" thickBot="1" x14ac:dyDescent="0.25">
      <c r="A2" s="1"/>
      <c r="B2" s="401" t="s">
        <v>1</v>
      </c>
      <c r="C2" s="1"/>
      <c r="D2" s="30"/>
      <c r="E2" s="24"/>
      <c r="F2" s="31" t="s">
        <v>359</v>
      </c>
      <c r="G2" s="32">
        <f ca="1">NOW()</f>
        <v>43621.605669907411</v>
      </c>
      <c r="H2" s="33" t="s">
        <v>360</v>
      </c>
      <c r="I2" s="34"/>
      <c r="J2" s="34"/>
      <c r="K2" s="34"/>
      <c r="L2" s="33"/>
      <c r="M2" s="34"/>
      <c r="N2" s="34"/>
      <c r="O2" s="34"/>
      <c r="P2" s="34"/>
      <c r="Q2" s="34"/>
      <c r="R2" s="34"/>
      <c r="S2" s="34"/>
      <c r="T2" s="34"/>
      <c r="U2" s="34"/>
      <c r="V2" s="35"/>
      <c r="W2" s="34"/>
      <c r="X2" s="34"/>
      <c r="Y2" s="34"/>
      <c r="Z2" s="34"/>
      <c r="AA2" s="34"/>
      <c r="AB2" s="34"/>
      <c r="AC2" s="34"/>
      <c r="AD2" s="34"/>
      <c r="AE2" s="34"/>
      <c r="AF2" s="34"/>
      <c r="AG2" s="34"/>
      <c r="AH2" s="34"/>
      <c r="AI2" s="34"/>
      <c r="AJ2" s="34"/>
      <c r="AK2" s="34"/>
      <c r="AL2" s="34"/>
      <c r="AM2" s="35"/>
      <c r="AN2" s="34"/>
      <c r="AO2" s="34"/>
      <c r="AP2" s="34"/>
      <c r="AQ2" s="34"/>
      <c r="AR2" s="34"/>
      <c r="AS2" s="34"/>
      <c r="AT2" s="34"/>
      <c r="AU2" s="34"/>
      <c r="AV2" s="35"/>
      <c r="AW2" s="34"/>
      <c r="AX2" s="34"/>
      <c r="AY2" s="34"/>
      <c r="AZ2" s="34"/>
      <c r="BA2" s="34"/>
      <c r="BB2" s="34"/>
      <c r="BC2" s="34"/>
    </row>
    <row r="3" spans="1:55" ht="16.5" thickBot="1" x14ac:dyDescent="0.25">
      <c r="A3" s="1"/>
      <c r="B3" s="401" t="s">
        <v>2</v>
      </c>
      <c r="C3" s="1"/>
      <c r="D3" s="30"/>
      <c r="E3" s="30"/>
      <c r="F3" s="36"/>
      <c r="G3" s="30"/>
      <c r="H3" s="37" t="s">
        <v>361</v>
      </c>
      <c r="I3" s="34" t="s">
        <v>362</v>
      </c>
      <c r="J3" s="34"/>
      <c r="K3" s="34"/>
      <c r="L3" s="38"/>
      <c r="M3" s="34"/>
      <c r="N3" s="34"/>
      <c r="O3" s="34"/>
      <c r="P3" s="34"/>
      <c r="Q3" s="34"/>
      <c r="R3" s="34"/>
      <c r="S3" s="34"/>
      <c r="T3" s="34"/>
      <c r="U3" s="34"/>
      <c r="V3" s="35"/>
      <c r="W3" s="39" t="s">
        <v>363</v>
      </c>
      <c r="X3" s="40"/>
      <c r="Y3" s="40"/>
      <c r="Z3" s="40"/>
      <c r="AA3" s="40"/>
      <c r="AB3" s="40"/>
      <c r="AC3" s="40"/>
      <c r="AD3" s="40"/>
      <c r="AE3" s="40"/>
      <c r="AF3" s="40"/>
      <c r="AG3" s="40"/>
      <c r="AH3" s="40"/>
      <c r="AI3" s="34"/>
      <c r="AJ3" s="34"/>
      <c r="AK3" s="34"/>
      <c r="AL3" s="34"/>
      <c r="AM3" s="35"/>
      <c r="AN3" s="39" t="s">
        <v>364</v>
      </c>
      <c r="AO3" s="40"/>
      <c r="AP3" s="34"/>
      <c r="AQ3" s="41" t="s">
        <v>365</v>
      </c>
      <c r="AR3" s="34"/>
      <c r="AS3" s="34"/>
      <c r="AT3" s="34"/>
      <c r="AU3" s="34"/>
      <c r="AV3" s="35"/>
      <c r="AW3" s="40" t="s">
        <v>366</v>
      </c>
      <c r="AX3" s="34"/>
      <c r="AY3" s="40" t="s">
        <v>367</v>
      </c>
      <c r="AZ3" s="34"/>
      <c r="BA3" s="40" t="s">
        <v>368</v>
      </c>
      <c r="BB3" s="34"/>
      <c r="BC3" s="40" t="s">
        <v>369</v>
      </c>
    </row>
    <row r="4" spans="1:55" ht="11.1" customHeight="1" x14ac:dyDescent="0.2">
      <c r="A4" s="1"/>
      <c r="B4" s="1"/>
      <c r="C4" s="349"/>
      <c r="D4" s="377" t="s">
        <v>370</v>
      </c>
      <c r="E4" s="42" t="s">
        <v>371</v>
      </c>
      <c r="F4" s="43" t="s">
        <v>372</v>
      </c>
      <c r="G4" s="44" t="s">
        <v>373</v>
      </c>
      <c r="H4" s="45"/>
      <c r="I4" s="34"/>
      <c r="J4" s="34"/>
      <c r="K4" s="34"/>
      <c r="L4" s="45"/>
      <c r="M4" s="34"/>
      <c r="N4" s="34"/>
      <c r="O4" s="34"/>
      <c r="P4" s="34"/>
      <c r="Q4" s="34"/>
      <c r="R4" s="34"/>
      <c r="S4" s="34"/>
      <c r="T4" s="34"/>
      <c r="U4" s="34"/>
      <c r="V4" s="35"/>
      <c r="W4" s="34"/>
      <c r="X4" s="34"/>
      <c r="Y4" s="34"/>
      <c r="Z4" s="34"/>
      <c r="AA4" s="34"/>
      <c r="AB4" s="34"/>
      <c r="AC4" s="34"/>
      <c r="AD4" s="34"/>
      <c r="AE4" s="34"/>
      <c r="AF4" s="34"/>
      <c r="AG4" s="34"/>
      <c r="AH4" s="34"/>
      <c r="AI4" s="34"/>
      <c r="AJ4" s="34"/>
      <c r="AK4" s="34"/>
      <c r="AL4" s="34"/>
      <c r="AM4" s="35"/>
      <c r="AN4" s="34"/>
      <c r="AO4" s="34"/>
      <c r="AP4" s="34"/>
      <c r="AQ4" s="41" t="s">
        <v>374</v>
      </c>
      <c r="AR4" s="34"/>
      <c r="AS4" s="34"/>
      <c r="AT4" s="34"/>
      <c r="AU4" s="34"/>
      <c r="AV4" s="35"/>
      <c r="AW4" s="34"/>
      <c r="AX4" s="34"/>
      <c r="AY4" s="34"/>
      <c r="AZ4" s="34"/>
      <c r="BA4" s="34"/>
      <c r="BB4" s="34"/>
      <c r="BC4" s="34"/>
    </row>
    <row r="5" spans="1:55" ht="18" customHeight="1" thickBot="1" x14ac:dyDescent="0.25">
      <c r="A5" s="1"/>
      <c r="B5" s="13" t="s">
        <v>553</v>
      </c>
      <c r="C5" s="349"/>
      <c r="D5" s="378" t="s">
        <v>375</v>
      </c>
      <c r="E5" s="352" t="s">
        <v>376</v>
      </c>
      <c r="F5" s="353" t="s">
        <v>377</v>
      </c>
      <c r="G5" s="354" t="s">
        <v>378</v>
      </c>
      <c r="H5" s="46"/>
      <c r="I5" s="47"/>
      <c r="J5" s="47"/>
      <c r="K5" s="47"/>
      <c r="L5" s="46"/>
      <c r="M5" s="47"/>
      <c r="N5" s="47"/>
      <c r="O5" s="47"/>
      <c r="P5" s="47"/>
      <c r="Q5" s="47"/>
      <c r="R5" s="47"/>
      <c r="S5" s="47"/>
      <c r="T5" s="47"/>
      <c r="U5" s="47"/>
      <c r="V5" s="48"/>
      <c r="W5" s="47"/>
      <c r="X5" s="47"/>
      <c r="Y5" s="47"/>
      <c r="Z5" s="47"/>
      <c r="AA5" s="47"/>
      <c r="AB5" s="47"/>
      <c r="AC5" s="47"/>
      <c r="AD5" s="47"/>
      <c r="AE5" s="47"/>
      <c r="AF5" s="47"/>
      <c r="AG5" s="47"/>
      <c r="AH5" s="47"/>
      <c r="AI5" s="47"/>
      <c r="AJ5" s="47"/>
      <c r="AK5" s="47"/>
      <c r="AL5" s="47"/>
      <c r="AM5" s="48"/>
      <c r="AN5" s="47"/>
      <c r="AO5" s="47"/>
      <c r="AP5" s="47"/>
      <c r="AQ5" s="47"/>
      <c r="AR5" s="47"/>
      <c r="AS5" s="47"/>
      <c r="AT5" s="47"/>
      <c r="AU5" s="47"/>
      <c r="AV5" s="48"/>
      <c r="AW5" s="47"/>
      <c r="AX5" s="47"/>
      <c r="AY5" s="47"/>
      <c r="AZ5" s="47"/>
      <c r="BA5" s="47"/>
      <c r="BB5" s="47"/>
      <c r="BC5" s="47"/>
    </row>
    <row r="6" spans="1:55" ht="27" customHeight="1" thickBot="1" x14ac:dyDescent="0.25">
      <c r="A6" s="392" t="s">
        <v>3</v>
      </c>
      <c r="B6" s="393" t="s">
        <v>551</v>
      </c>
      <c r="C6" s="394" t="s">
        <v>357</v>
      </c>
      <c r="D6" s="379"/>
      <c r="E6" s="380"/>
      <c r="F6" s="381"/>
      <c r="G6" s="382"/>
      <c r="H6" s="350" t="s">
        <v>379</v>
      </c>
      <c r="I6" s="50" t="s">
        <v>380</v>
      </c>
      <c r="J6" s="50" t="s">
        <v>381</v>
      </c>
      <c r="K6" s="50" t="s">
        <v>382</v>
      </c>
      <c r="L6" s="49" t="s">
        <v>383</v>
      </c>
      <c r="M6" s="50" t="s">
        <v>380</v>
      </c>
      <c r="N6" s="50" t="s">
        <v>381</v>
      </c>
      <c r="O6" s="50" t="s">
        <v>382</v>
      </c>
      <c r="P6" s="50" t="s">
        <v>384</v>
      </c>
      <c r="Q6" s="50" t="s">
        <v>385</v>
      </c>
      <c r="R6" s="50" t="s">
        <v>386</v>
      </c>
      <c r="S6" s="51" t="s">
        <v>387</v>
      </c>
      <c r="T6" s="50" t="s">
        <v>388</v>
      </c>
      <c r="U6" s="49" t="s">
        <v>389</v>
      </c>
      <c r="V6" s="52"/>
      <c r="W6" s="53" t="s">
        <v>390</v>
      </c>
      <c r="X6" s="51" t="s">
        <v>385</v>
      </c>
      <c r="Y6" s="51" t="s">
        <v>391</v>
      </c>
      <c r="Z6" s="51" t="s">
        <v>370</v>
      </c>
      <c r="AA6" s="54" t="s">
        <v>392</v>
      </c>
      <c r="AB6" s="51" t="s">
        <v>385</v>
      </c>
      <c r="AC6" s="51" t="s">
        <v>391</v>
      </c>
      <c r="AD6" s="51" t="s">
        <v>370</v>
      </c>
      <c r="AE6" s="54" t="s">
        <v>393</v>
      </c>
      <c r="AF6" s="51" t="s">
        <v>385</v>
      </c>
      <c r="AG6" s="51" t="s">
        <v>391</v>
      </c>
      <c r="AH6" s="51" t="s">
        <v>370</v>
      </c>
      <c r="AI6" s="51" t="s">
        <v>394</v>
      </c>
      <c r="AJ6" s="51" t="s">
        <v>395</v>
      </c>
      <c r="AK6" s="51" t="s">
        <v>396</v>
      </c>
      <c r="AL6" s="51" t="s">
        <v>397</v>
      </c>
      <c r="AM6" s="55"/>
      <c r="AN6" s="56" t="s">
        <v>398</v>
      </c>
      <c r="AO6" s="57" t="s">
        <v>399</v>
      </c>
      <c r="AP6" s="58" t="s">
        <v>400</v>
      </c>
      <c r="AQ6" s="59" t="s">
        <v>391</v>
      </c>
      <c r="AR6" s="60" t="s">
        <v>395</v>
      </c>
      <c r="AS6" s="60" t="s">
        <v>401</v>
      </c>
      <c r="AT6" s="60" t="s">
        <v>402</v>
      </c>
      <c r="AU6" s="60" t="s">
        <v>403</v>
      </c>
      <c r="AV6" s="55"/>
      <c r="AW6" s="61">
        <v>0.05</v>
      </c>
      <c r="AX6" s="62"/>
      <c r="AY6" s="63">
        <v>0.15</v>
      </c>
      <c r="AZ6" s="62"/>
      <c r="BA6" s="62"/>
      <c r="BB6" s="62"/>
      <c r="BC6" s="55"/>
    </row>
    <row r="7" spans="1:55" ht="12" customHeight="1" x14ac:dyDescent="0.2">
      <c r="A7" s="395"/>
      <c r="B7" s="396"/>
      <c r="C7" s="397"/>
      <c r="D7" s="355"/>
      <c r="E7" s="356"/>
      <c r="F7" s="357"/>
      <c r="G7" s="358"/>
      <c r="P7" s="64"/>
      <c r="Q7" s="64"/>
      <c r="S7" s="64"/>
      <c r="W7" s="65"/>
    </row>
    <row r="8" spans="1:55" ht="12" customHeight="1" x14ac:dyDescent="0.2">
      <c r="A8" s="398"/>
      <c r="B8" s="399"/>
      <c r="C8" s="397"/>
      <c r="D8" s="355"/>
      <c r="E8" s="356"/>
      <c r="F8" s="357"/>
      <c r="G8" s="358"/>
      <c r="P8" s="64"/>
      <c r="Q8" s="64"/>
      <c r="S8" s="64"/>
      <c r="W8" s="65"/>
      <c r="Y8" s="64"/>
    </row>
    <row r="9" spans="1:55" ht="11.1" customHeight="1" x14ac:dyDescent="0.2">
      <c r="A9" s="426" t="s">
        <v>487</v>
      </c>
      <c r="B9" s="406" t="s">
        <v>595</v>
      </c>
      <c r="C9" s="412">
        <f>Prelims!H87</f>
        <v>29508</v>
      </c>
      <c r="D9" s="359"/>
      <c r="E9" s="359"/>
      <c r="F9" s="360"/>
      <c r="G9" s="361"/>
      <c r="H9" s="67"/>
      <c r="J9" s="64"/>
      <c r="M9" s="67"/>
      <c r="O9" s="68"/>
      <c r="Q9" s="64"/>
      <c r="S9" s="64"/>
      <c r="V9" s="64"/>
      <c r="W9" s="65"/>
      <c r="Y9" s="64"/>
    </row>
    <row r="10" spans="1:55" ht="11.1" customHeight="1" x14ac:dyDescent="0.2">
      <c r="A10" s="426"/>
      <c r="B10" s="406"/>
      <c r="C10" s="412"/>
      <c r="D10" s="359"/>
      <c r="E10" s="359"/>
      <c r="F10" s="360"/>
      <c r="G10" s="361"/>
      <c r="H10" s="67"/>
      <c r="J10" s="64"/>
      <c r="M10" s="67"/>
      <c r="O10" s="68"/>
      <c r="Q10" s="64"/>
      <c r="S10" s="64"/>
      <c r="V10" s="64"/>
      <c r="W10" s="65"/>
      <c r="Y10" s="64"/>
    </row>
    <row r="11" spans="1:55" ht="11.1" customHeight="1" x14ac:dyDescent="0.2">
      <c r="A11" s="426"/>
      <c r="B11" s="428" t="s">
        <v>684</v>
      </c>
      <c r="C11" s="420">
        <v>17500</v>
      </c>
      <c r="D11" s="359"/>
      <c r="E11" s="359"/>
      <c r="F11" s="360"/>
      <c r="G11" s="361"/>
      <c r="H11" s="67"/>
      <c r="J11" s="64"/>
      <c r="M11" s="67"/>
      <c r="O11" s="68"/>
      <c r="Q11" s="64"/>
      <c r="S11" s="64"/>
      <c r="V11" s="64"/>
      <c r="W11" s="65"/>
      <c r="Y11" s="64"/>
    </row>
    <row r="12" spans="1:55" ht="11.1" customHeight="1" x14ac:dyDescent="0.2">
      <c r="A12" s="426"/>
      <c r="B12" s="399"/>
      <c r="C12" s="412"/>
      <c r="D12" s="359"/>
      <c r="E12" s="359"/>
      <c r="F12" s="360"/>
      <c r="G12" s="361"/>
      <c r="H12" s="67"/>
      <c r="J12" s="64"/>
      <c r="M12" s="67"/>
      <c r="O12" s="68"/>
      <c r="Q12" s="64"/>
      <c r="S12" s="64"/>
      <c r="V12" s="64"/>
      <c r="W12" s="65"/>
      <c r="Y12" s="64"/>
    </row>
    <row r="13" spans="1:55" ht="12" customHeight="1" x14ac:dyDescent="0.2">
      <c r="A13" s="426"/>
      <c r="B13" s="399" t="s">
        <v>510</v>
      </c>
      <c r="C13" s="412"/>
      <c r="D13" s="359"/>
      <c r="E13" s="359"/>
      <c r="F13" s="360"/>
      <c r="G13" s="361"/>
      <c r="J13" s="64"/>
      <c r="S13" s="64"/>
      <c r="W13" s="65"/>
    </row>
    <row r="14" spans="1:55" x14ac:dyDescent="0.2">
      <c r="A14" s="426"/>
      <c r="B14" s="399" t="s">
        <v>511</v>
      </c>
      <c r="C14" s="412">
        <f>Schedule!C107</f>
        <v>12500</v>
      </c>
      <c r="D14" s="359"/>
      <c r="E14" s="359"/>
      <c r="F14" s="362"/>
      <c r="G14" s="363"/>
      <c r="J14" s="64"/>
      <c r="U14" s="69"/>
      <c r="W14" s="65"/>
      <c r="Y14" s="64"/>
    </row>
    <row r="15" spans="1:55" ht="11.1" customHeight="1" x14ac:dyDescent="0.2">
      <c r="A15" s="426"/>
      <c r="B15" s="399" t="s">
        <v>512</v>
      </c>
      <c r="C15" s="412"/>
      <c r="D15" s="359"/>
      <c r="E15" s="359"/>
      <c r="F15" s="360"/>
      <c r="G15" s="361"/>
      <c r="I15" s="64"/>
      <c r="W15" s="65"/>
      <c r="Y15" s="64"/>
    </row>
    <row r="16" spans="1:55" x14ac:dyDescent="0.2">
      <c r="A16" s="426"/>
      <c r="B16" s="399" t="s">
        <v>513</v>
      </c>
      <c r="C16" s="412">
        <f>Schedule!C115</f>
        <v>5700</v>
      </c>
      <c r="D16" s="359"/>
      <c r="E16" s="359"/>
      <c r="F16" s="360"/>
      <c r="G16" s="361"/>
      <c r="I16" s="64"/>
      <c r="W16" s="65"/>
    </row>
    <row r="17" spans="1:55" ht="11.1" customHeight="1" x14ac:dyDescent="0.2">
      <c r="A17" s="426"/>
      <c r="B17" s="399" t="s">
        <v>514</v>
      </c>
      <c r="C17" s="415" t="s">
        <v>599</v>
      </c>
      <c r="D17" s="359"/>
      <c r="E17" s="359"/>
      <c r="F17" s="360"/>
      <c r="G17" s="361"/>
      <c r="I17" s="64"/>
      <c r="S17" s="64"/>
      <c r="U17" s="70"/>
      <c r="V17" s="64"/>
      <c r="W17" s="66"/>
      <c r="Y17" s="64"/>
    </row>
    <row r="18" spans="1:55" ht="11.1" customHeight="1" x14ac:dyDescent="0.2">
      <c r="A18" s="426"/>
      <c r="B18" s="399"/>
      <c r="C18" s="412"/>
      <c r="D18" s="359"/>
      <c r="E18" s="359"/>
      <c r="F18" s="360"/>
      <c r="G18" s="361"/>
      <c r="I18" s="64"/>
      <c r="S18" s="64"/>
      <c r="U18" s="70"/>
      <c r="V18" s="64"/>
      <c r="W18" s="66"/>
      <c r="Y18" s="64"/>
    </row>
    <row r="19" spans="1:55" x14ac:dyDescent="0.2">
      <c r="A19" s="426" t="s">
        <v>488</v>
      </c>
      <c r="B19" s="399" t="s">
        <v>515</v>
      </c>
      <c r="C19" s="412"/>
      <c r="D19" s="359"/>
      <c r="E19" s="359"/>
      <c r="F19" s="360"/>
      <c r="G19" s="361"/>
      <c r="I19" s="64"/>
      <c r="S19" s="64"/>
      <c r="U19" s="70"/>
      <c r="V19" s="64"/>
      <c r="W19" s="64"/>
      <c r="Y19" s="64"/>
      <c r="AL19"/>
      <c r="AM19"/>
      <c r="AN19"/>
      <c r="AO19"/>
      <c r="AP19"/>
      <c r="AQ19"/>
      <c r="AR19"/>
      <c r="AS19"/>
      <c r="AT19"/>
      <c r="AU19"/>
      <c r="AV19"/>
      <c r="AW19"/>
      <c r="AX19"/>
      <c r="AY19"/>
      <c r="AZ19"/>
      <c r="BA19"/>
      <c r="BB19"/>
      <c r="BC19"/>
    </row>
    <row r="20" spans="1:55" x14ac:dyDescent="0.2">
      <c r="A20" s="426"/>
      <c r="B20" s="399"/>
      <c r="C20" s="412"/>
      <c r="D20" s="359"/>
      <c r="E20" s="359"/>
      <c r="F20" s="360"/>
      <c r="G20" s="361"/>
      <c r="I20" s="64"/>
      <c r="S20" s="64"/>
      <c r="U20" s="70"/>
      <c r="V20" s="64"/>
      <c r="W20" s="64"/>
      <c r="Y20" s="64"/>
      <c r="AL20"/>
      <c r="AM20"/>
      <c r="AN20"/>
      <c r="AO20"/>
      <c r="AP20"/>
      <c r="AQ20"/>
      <c r="AR20"/>
      <c r="AS20"/>
      <c r="AT20"/>
      <c r="AU20"/>
      <c r="AV20"/>
      <c r="AW20"/>
      <c r="AX20"/>
      <c r="AY20"/>
      <c r="AZ20"/>
      <c r="BA20"/>
      <c r="BB20"/>
      <c r="BC20"/>
    </row>
    <row r="21" spans="1:55" s="27" customFormat="1" ht="11.1" customHeight="1" x14ac:dyDescent="0.2">
      <c r="A21" s="426"/>
      <c r="B21" s="399" t="s">
        <v>516</v>
      </c>
      <c r="C21" s="412">
        <f>Schedule!C228</f>
        <v>53564</v>
      </c>
      <c r="D21" s="359"/>
      <c r="E21" s="359"/>
      <c r="F21" s="360"/>
      <c r="G21" s="361"/>
      <c r="S21" s="64"/>
      <c r="T21" s="28"/>
      <c r="U21" s="29"/>
    </row>
    <row r="22" spans="1:55" s="27" customFormat="1" x14ac:dyDescent="0.2">
      <c r="A22" s="426"/>
      <c r="B22" s="399" t="s">
        <v>517</v>
      </c>
      <c r="C22" s="412">
        <f>Schedule!C235</f>
        <v>1081</v>
      </c>
      <c r="D22" s="359"/>
      <c r="E22" s="359"/>
      <c r="F22" s="360"/>
      <c r="G22" s="361"/>
      <c r="I22" s="64"/>
      <c r="S22" s="64"/>
      <c r="T22" s="28"/>
      <c r="U22" s="29"/>
    </row>
    <row r="23" spans="1:55" s="27" customFormat="1" ht="11.1" customHeight="1" x14ac:dyDescent="0.2">
      <c r="A23" s="426"/>
      <c r="B23" s="399" t="s">
        <v>518</v>
      </c>
      <c r="C23" s="412">
        <f>Schedule!C244</f>
        <v>2200</v>
      </c>
      <c r="D23" s="359"/>
      <c r="E23" s="359"/>
      <c r="F23" s="360"/>
      <c r="G23" s="361"/>
      <c r="P23" s="66"/>
      <c r="S23" s="64"/>
      <c r="T23" s="28"/>
      <c r="U23" s="29"/>
    </row>
    <row r="24" spans="1:55" s="27" customFormat="1" ht="11.1" customHeight="1" x14ac:dyDescent="0.2">
      <c r="A24" s="426"/>
      <c r="B24" s="399"/>
      <c r="C24" s="412"/>
      <c r="D24" s="359"/>
      <c r="E24" s="359"/>
      <c r="F24" s="360"/>
      <c r="G24" s="361"/>
      <c r="P24" s="66"/>
      <c r="S24" s="64"/>
      <c r="T24" s="28"/>
      <c r="U24" s="29"/>
    </row>
    <row r="25" spans="1:55" s="27" customFormat="1" ht="12" customHeight="1" x14ac:dyDescent="0.2">
      <c r="A25" s="426" t="s">
        <v>375</v>
      </c>
      <c r="B25" s="399" t="s">
        <v>519</v>
      </c>
      <c r="C25" s="412"/>
      <c r="D25" s="359"/>
      <c r="E25" s="359"/>
      <c r="F25" s="360"/>
      <c r="G25" s="361"/>
      <c r="I25" s="64"/>
      <c r="L25" s="71"/>
      <c r="M25" s="71"/>
      <c r="N25" s="71"/>
      <c r="O25" s="71"/>
      <c r="P25" s="71"/>
      <c r="Q25" s="71"/>
      <c r="R25" s="71"/>
      <c r="S25" s="72"/>
      <c r="T25" s="347"/>
      <c r="U25" s="348"/>
      <c r="V25" s="71"/>
      <c r="W25" s="71"/>
      <c r="X25" s="71"/>
      <c r="Y25" s="71"/>
      <c r="Z25" s="71"/>
      <c r="AA25" s="71"/>
      <c r="AB25" s="71"/>
      <c r="AC25" s="71"/>
      <c r="AD25" s="71"/>
      <c r="AE25" s="71"/>
      <c r="AF25" s="71"/>
      <c r="AG25" s="71"/>
      <c r="AH25" s="71"/>
      <c r="AI25" s="71"/>
      <c r="AJ25" s="71"/>
      <c r="AK25" s="71"/>
    </row>
    <row r="26" spans="1:55" s="27" customFormat="1" ht="12" customHeight="1" x14ac:dyDescent="0.2">
      <c r="A26" s="426"/>
      <c r="B26" s="399"/>
      <c r="C26" s="412"/>
      <c r="D26" s="359"/>
      <c r="E26" s="359"/>
      <c r="F26" s="360"/>
      <c r="G26" s="361"/>
      <c r="I26" s="64"/>
      <c r="L26" s="71"/>
      <c r="M26" s="71"/>
      <c r="N26" s="71"/>
      <c r="O26" s="71"/>
      <c r="P26" s="71"/>
      <c r="Q26" s="71"/>
      <c r="R26" s="71"/>
      <c r="S26" s="72"/>
      <c r="T26" s="347"/>
      <c r="U26" s="348"/>
      <c r="V26" s="71"/>
      <c r="W26" s="71"/>
      <c r="X26" s="71"/>
      <c r="Y26" s="71"/>
      <c r="Z26" s="71"/>
      <c r="AA26" s="71"/>
      <c r="AB26" s="71"/>
      <c r="AC26" s="71"/>
      <c r="AD26" s="71"/>
      <c r="AE26" s="71"/>
      <c r="AF26" s="71"/>
      <c r="AG26" s="71"/>
      <c r="AH26" s="71"/>
      <c r="AI26" s="71"/>
      <c r="AJ26" s="71"/>
      <c r="AK26" s="71"/>
    </row>
    <row r="27" spans="1:55" s="27" customFormat="1" ht="12" customHeight="1" x14ac:dyDescent="0.2">
      <c r="A27" s="426"/>
      <c r="B27" s="399" t="s">
        <v>520</v>
      </c>
      <c r="C27" s="412">
        <f>Schedule!C251</f>
        <v>720</v>
      </c>
      <c r="D27" s="359"/>
      <c r="E27" s="359"/>
      <c r="F27" s="360"/>
      <c r="G27" s="361"/>
      <c r="I27" s="64"/>
      <c r="L27" s="71"/>
      <c r="M27" s="71"/>
      <c r="N27" s="71"/>
      <c r="O27" s="71"/>
      <c r="P27" s="71"/>
      <c r="Q27" s="71"/>
      <c r="R27" s="71"/>
      <c r="S27" s="72"/>
      <c r="T27" s="347"/>
      <c r="U27" s="348"/>
      <c r="V27" s="71"/>
      <c r="W27" s="71"/>
      <c r="X27" s="71"/>
      <c r="Y27" s="72"/>
      <c r="Z27" s="71"/>
      <c r="AA27" s="71"/>
      <c r="AB27" s="71"/>
      <c r="AC27" s="71"/>
      <c r="AD27" s="71"/>
      <c r="AE27" s="71"/>
      <c r="AF27" s="71"/>
      <c r="AG27" s="71"/>
      <c r="AH27" s="71"/>
      <c r="AI27" s="71"/>
      <c r="AJ27" s="71"/>
      <c r="AK27" s="71"/>
    </row>
    <row r="28" spans="1:55" s="27" customFormat="1" x14ac:dyDescent="0.2">
      <c r="A28" s="426"/>
      <c r="B28" s="399" t="s">
        <v>521</v>
      </c>
      <c r="C28" s="412">
        <f>Schedule!C262</f>
        <v>3300</v>
      </c>
      <c r="D28" s="359"/>
      <c r="E28" s="359"/>
      <c r="F28" s="360"/>
      <c r="G28" s="361"/>
      <c r="I28" s="64"/>
      <c r="L28" s="71"/>
      <c r="M28" s="71"/>
      <c r="N28" s="71"/>
      <c r="O28" s="71"/>
      <c r="P28" s="71"/>
      <c r="Q28" s="71"/>
      <c r="R28" s="71"/>
      <c r="S28" s="72"/>
      <c r="T28" s="347"/>
      <c r="U28" s="348"/>
      <c r="V28" s="71"/>
      <c r="W28" s="71"/>
      <c r="X28" s="71"/>
      <c r="Y28" s="71"/>
      <c r="Z28" s="71"/>
      <c r="AA28" s="71"/>
      <c r="AB28" s="71"/>
      <c r="AC28" s="71"/>
      <c r="AD28" s="71"/>
      <c r="AE28" s="71"/>
      <c r="AF28" s="71"/>
      <c r="AG28" s="71"/>
      <c r="AH28" s="71"/>
      <c r="AI28" s="71"/>
      <c r="AJ28" s="71"/>
      <c r="AK28" s="71"/>
    </row>
    <row r="29" spans="1:55" s="27" customFormat="1" x14ac:dyDescent="0.2">
      <c r="A29" s="426"/>
      <c r="B29" s="399" t="s">
        <v>522</v>
      </c>
      <c r="C29" s="412">
        <f>Schedule!C267</f>
        <v>2000</v>
      </c>
      <c r="D29" s="359"/>
      <c r="E29" s="359"/>
      <c r="F29" s="360"/>
      <c r="G29" s="361"/>
      <c r="L29" s="71"/>
      <c r="M29" s="71"/>
      <c r="N29" s="71"/>
      <c r="O29" s="71"/>
      <c r="P29" s="71"/>
      <c r="Q29" s="72"/>
      <c r="R29" s="71"/>
      <c r="S29" s="72"/>
      <c r="T29" s="347"/>
      <c r="U29" s="348"/>
      <c r="V29" s="71"/>
      <c r="W29" s="71"/>
      <c r="X29" s="71"/>
      <c r="Y29" s="72"/>
      <c r="Z29" s="71"/>
      <c r="AA29" s="71"/>
      <c r="AB29" s="71"/>
      <c r="AC29" s="71"/>
      <c r="AD29" s="71"/>
      <c r="AE29" s="71"/>
      <c r="AF29" s="71"/>
      <c r="AG29" s="71"/>
      <c r="AH29" s="71"/>
      <c r="AI29" s="71"/>
      <c r="AJ29" s="71"/>
      <c r="AK29" s="71"/>
    </row>
    <row r="30" spans="1:55" s="27" customFormat="1" x14ac:dyDescent="0.2">
      <c r="A30" s="426"/>
      <c r="B30" s="399" t="s">
        <v>523</v>
      </c>
      <c r="C30" s="412">
        <f>Schedule!C290</f>
        <v>18484</v>
      </c>
      <c r="D30" s="359"/>
      <c r="E30" s="359"/>
      <c r="F30" s="360"/>
      <c r="G30" s="358"/>
      <c r="L30" s="71"/>
      <c r="M30" s="71"/>
      <c r="N30" s="71"/>
      <c r="O30" s="71"/>
      <c r="P30" s="71"/>
      <c r="Q30" s="71"/>
      <c r="R30" s="71"/>
      <c r="S30" s="72"/>
      <c r="T30" s="347"/>
      <c r="U30" s="348"/>
      <c r="V30" s="71"/>
      <c r="W30" s="71"/>
      <c r="X30" s="71"/>
      <c r="Y30" s="72"/>
      <c r="Z30" s="71"/>
      <c r="AA30" s="71"/>
      <c r="AB30" s="71"/>
      <c r="AC30" s="71"/>
      <c r="AD30" s="71"/>
      <c r="AE30" s="71"/>
      <c r="AF30" s="71"/>
      <c r="AG30" s="71"/>
      <c r="AH30" s="71"/>
      <c r="AI30" s="71"/>
      <c r="AJ30" s="71"/>
      <c r="AK30" s="71"/>
    </row>
    <row r="31" spans="1:55" s="27" customFormat="1" x14ac:dyDescent="0.2">
      <c r="A31" s="426"/>
      <c r="B31" s="399" t="s">
        <v>524</v>
      </c>
      <c r="C31" s="412">
        <f>Schedule!C295</f>
        <v>500</v>
      </c>
      <c r="D31" s="359"/>
      <c r="E31" s="359"/>
      <c r="F31" s="360"/>
      <c r="G31" s="361"/>
      <c r="L31" s="71"/>
      <c r="M31" s="71"/>
      <c r="N31" s="71"/>
      <c r="O31" s="71"/>
      <c r="P31" s="72"/>
      <c r="Q31" s="71"/>
      <c r="R31" s="71"/>
      <c r="S31" s="72"/>
      <c r="T31" s="347"/>
      <c r="U31" s="348"/>
      <c r="V31" s="71"/>
      <c r="W31" s="71"/>
      <c r="X31" s="71"/>
      <c r="Y31" s="72"/>
      <c r="Z31" s="71"/>
      <c r="AA31" s="71"/>
      <c r="AB31" s="71"/>
      <c r="AC31" s="71"/>
      <c r="AD31" s="71"/>
      <c r="AE31" s="71"/>
      <c r="AF31" s="71"/>
      <c r="AG31" s="71"/>
      <c r="AH31" s="71"/>
      <c r="AI31" s="71"/>
      <c r="AJ31" s="71"/>
      <c r="AK31" s="71"/>
    </row>
    <row r="32" spans="1:55" s="27" customFormat="1" x14ac:dyDescent="0.2">
      <c r="A32" s="426"/>
      <c r="B32" s="399" t="s">
        <v>525</v>
      </c>
      <c r="C32" s="412">
        <f>Schedule!C303</f>
        <v>13750</v>
      </c>
      <c r="D32" s="359"/>
      <c r="E32" s="359"/>
      <c r="F32" s="360"/>
      <c r="G32" s="361"/>
      <c r="L32" s="71"/>
      <c r="M32" s="71"/>
      <c r="N32" s="72"/>
      <c r="O32" s="71"/>
      <c r="P32" s="72"/>
      <c r="Q32" s="71"/>
      <c r="R32" s="71"/>
      <c r="S32" s="71"/>
      <c r="T32" s="347"/>
      <c r="U32" s="348"/>
      <c r="V32" s="71"/>
      <c r="W32" s="71"/>
      <c r="X32" s="71"/>
      <c r="Y32" s="71"/>
      <c r="Z32" s="71"/>
      <c r="AA32" s="71"/>
      <c r="AB32" s="71"/>
      <c r="AC32" s="71"/>
      <c r="AD32" s="71"/>
      <c r="AE32" s="71"/>
      <c r="AF32" s="71"/>
      <c r="AG32" s="71"/>
      <c r="AH32" s="71"/>
      <c r="AI32" s="71"/>
      <c r="AJ32" s="71"/>
      <c r="AK32" s="71"/>
    </row>
    <row r="33" spans="1:37" s="27" customFormat="1" x14ac:dyDescent="0.2">
      <c r="A33" s="426"/>
      <c r="B33" s="399" t="s">
        <v>526</v>
      </c>
      <c r="C33" s="412">
        <f>Schedule!C314</f>
        <v>4120</v>
      </c>
      <c r="D33" s="359"/>
      <c r="E33" s="359"/>
      <c r="F33" s="360"/>
      <c r="G33" s="361"/>
      <c r="L33" s="71"/>
      <c r="M33" s="71"/>
      <c r="N33" s="72"/>
      <c r="O33" s="71"/>
      <c r="P33" s="71"/>
      <c r="Q33" s="71"/>
      <c r="R33" s="71"/>
      <c r="S33" s="71"/>
      <c r="T33" s="347"/>
      <c r="U33" s="348"/>
      <c r="V33" s="71"/>
      <c r="W33" s="71"/>
      <c r="X33" s="71"/>
      <c r="Y33" s="71"/>
      <c r="Z33" s="71"/>
      <c r="AA33" s="71"/>
      <c r="AB33" s="71"/>
      <c r="AC33" s="71"/>
      <c r="AD33" s="71"/>
      <c r="AE33" s="71"/>
      <c r="AF33" s="71"/>
      <c r="AG33" s="71"/>
      <c r="AH33" s="71"/>
      <c r="AI33" s="71"/>
      <c r="AJ33" s="71"/>
      <c r="AK33" s="71"/>
    </row>
    <row r="34" spans="1:37" s="27" customFormat="1" x14ac:dyDescent="0.2">
      <c r="A34" s="426"/>
      <c r="B34" s="399" t="s">
        <v>527</v>
      </c>
      <c r="C34" s="415" t="str">
        <f>Schedule!C319</f>
        <v>Inc</v>
      </c>
      <c r="D34" s="359"/>
      <c r="E34" s="359"/>
      <c r="F34" s="360"/>
      <c r="G34" s="361"/>
      <c r="L34" s="71"/>
      <c r="M34" s="71"/>
      <c r="N34" s="72"/>
      <c r="O34" s="71"/>
      <c r="P34" s="72"/>
      <c r="Q34" s="72"/>
      <c r="R34" s="71"/>
      <c r="S34" s="71"/>
      <c r="T34" s="347"/>
      <c r="U34" s="348"/>
      <c r="V34" s="71"/>
      <c r="W34" s="71"/>
      <c r="X34" s="71"/>
      <c r="Y34" s="71"/>
      <c r="Z34" s="71"/>
      <c r="AA34" s="71"/>
      <c r="AB34" s="71"/>
      <c r="AC34" s="71"/>
      <c r="AD34" s="71"/>
      <c r="AE34" s="71"/>
      <c r="AF34" s="71"/>
      <c r="AG34" s="71"/>
      <c r="AH34" s="71"/>
      <c r="AI34" s="71"/>
      <c r="AJ34" s="71"/>
      <c r="AK34" s="71"/>
    </row>
    <row r="35" spans="1:37" s="27" customFormat="1" x14ac:dyDescent="0.2">
      <c r="A35" s="426"/>
      <c r="B35" s="399"/>
      <c r="C35" s="412"/>
      <c r="D35" s="359"/>
      <c r="E35" s="359"/>
      <c r="F35" s="360"/>
      <c r="G35" s="361"/>
      <c r="L35" s="71"/>
      <c r="M35" s="71"/>
      <c r="N35" s="72"/>
      <c r="O35" s="71"/>
      <c r="P35" s="72"/>
      <c r="Q35" s="72"/>
      <c r="R35" s="71"/>
      <c r="S35" s="71"/>
      <c r="T35" s="347"/>
      <c r="U35" s="348"/>
      <c r="V35" s="71"/>
      <c r="W35" s="71"/>
      <c r="X35" s="71"/>
      <c r="Y35" s="71"/>
      <c r="Z35" s="71"/>
      <c r="AA35" s="71"/>
      <c r="AB35" s="71"/>
      <c r="AC35" s="71"/>
      <c r="AD35" s="71"/>
      <c r="AE35" s="71"/>
      <c r="AF35" s="71"/>
      <c r="AG35" s="71"/>
      <c r="AH35" s="71"/>
      <c r="AI35" s="71"/>
      <c r="AJ35" s="71"/>
      <c r="AK35" s="71"/>
    </row>
    <row r="36" spans="1:37" s="27" customFormat="1" ht="12" customHeight="1" x14ac:dyDescent="0.2">
      <c r="A36" s="426" t="s">
        <v>376</v>
      </c>
      <c r="B36" s="399" t="s">
        <v>528</v>
      </c>
      <c r="C36" s="412"/>
      <c r="D36" s="364"/>
      <c r="E36" s="359"/>
      <c r="F36" s="360"/>
      <c r="G36" s="361"/>
      <c r="L36" s="71"/>
      <c r="M36" s="71"/>
      <c r="N36" s="71"/>
      <c r="O36" s="71"/>
      <c r="P36" s="71"/>
      <c r="Q36" s="72"/>
      <c r="R36" s="71"/>
      <c r="S36" s="71"/>
      <c r="T36" s="347"/>
      <c r="U36" s="348"/>
      <c r="V36" s="71"/>
      <c r="W36" s="71"/>
      <c r="X36" s="71"/>
      <c r="Y36" s="71"/>
      <c r="Z36" s="71"/>
      <c r="AA36" s="71"/>
      <c r="AB36" s="71"/>
      <c r="AC36" s="71"/>
      <c r="AD36" s="71"/>
      <c r="AE36" s="71"/>
      <c r="AF36" s="71"/>
      <c r="AG36" s="71"/>
      <c r="AH36" s="71"/>
      <c r="AI36" s="71"/>
      <c r="AJ36" s="71"/>
      <c r="AK36" s="71"/>
    </row>
    <row r="37" spans="1:37" s="27" customFormat="1" ht="12" customHeight="1" x14ac:dyDescent="0.2">
      <c r="A37" s="426"/>
      <c r="B37" s="399"/>
      <c r="C37" s="412"/>
      <c r="D37" s="364"/>
      <c r="E37" s="359"/>
      <c r="F37" s="360"/>
      <c r="G37" s="361"/>
      <c r="L37" s="71"/>
      <c r="M37" s="71"/>
      <c r="N37" s="71"/>
      <c r="O37" s="71"/>
      <c r="P37" s="71"/>
      <c r="Q37" s="72"/>
      <c r="R37" s="71"/>
      <c r="S37" s="71"/>
      <c r="T37" s="347"/>
      <c r="U37" s="348"/>
      <c r="V37" s="71"/>
      <c r="W37" s="71"/>
      <c r="X37" s="71"/>
      <c r="Y37" s="71"/>
      <c r="Z37" s="71"/>
      <c r="AA37" s="71"/>
      <c r="AB37" s="71"/>
      <c r="AC37" s="71"/>
      <c r="AD37" s="71"/>
      <c r="AE37" s="71"/>
      <c r="AF37" s="71"/>
      <c r="AG37" s="71"/>
      <c r="AH37" s="71"/>
      <c r="AI37" s="71"/>
      <c r="AJ37" s="71"/>
      <c r="AK37" s="71"/>
    </row>
    <row r="38" spans="1:37" s="27" customFormat="1" ht="12" customHeight="1" x14ac:dyDescent="0.2">
      <c r="A38" s="426"/>
      <c r="B38" s="399" t="s">
        <v>529</v>
      </c>
      <c r="C38" s="412">
        <f>Schedule!C353</f>
        <v>6170</v>
      </c>
      <c r="D38" s="364"/>
      <c r="E38" s="359"/>
      <c r="F38" s="360"/>
      <c r="G38" s="361"/>
      <c r="L38" s="71"/>
      <c r="M38" s="71"/>
      <c r="N38" s="71"/>
      <c r="O38" s="71"/>
      <c r="P38" s="72"/>
      <c r="Q38" s="71"/>
      <c r="R38" s="71"/>
      <c r="S38" s="71"/>
      <c r="T38" s="347"/>
      <c r="U38" s="348"/>
      <c r="V38" s="71"/>
      <c r="W38" s="71"/>
      <c r="X38" s="71"/>
      <c r="Y38" s="71"/>
      <c r="Z38" s="71"/>
      <c r="AA38" s="71"/>
      <c r="AB38" s="71"/>
      <c r="AC38" s="71"/>
      <c r="AD38" s="71"/>
      <c r="AE38" s="71"/>
      <c r="AF38" s="71"/>
      <c r="AG38" s="71"/>
      <c r="AH38" s="71"/>
      <c r="AI38" s="71"/>
      <c r="AJ38" s="71"/>
      <c r="AK38" s="71"/>
    </row>
    <row r="39" spans="1:37" s="27" customFormat="1" x14ac:dyDescent="0.2">
      <c r="A39" s="397"/>
      <c r="B39" s="399" t="s">
        <v>530</v>
      </c>
      <c r="C39" s="412">
        <f>Schedule!C378</f>
        <v>19643.76222222222</v>
      </c>
      <c r="D39" s="364"/>
      <c r="E39" s="359"/>
      <c r="F39" s="360"/>
      <c r="G39" s="361"/>
      <c r="L39" s="71"/>
      <c r="M39" s="71"/>
      <c r="N39" s="72"/>
      <c r="O39" s="71"/>
      <c r="P39" s="72"/>
      <c r="Q39" s="72"/>
      <c r="R39" s="71"/>
      <c r="S39" s="71"/>
      <c r="T39" s="347"/>
      <c r="U39" s="348"/>
      <c r="V39" s="71"/>
      <c r="W39" s="71"/>
      <c r="X39" s="71"/>
      <c r="Y39" s="71"/>
      <c r="Z39" s="71"/>
      <c r="AA39" s="71"/>
      <c r="AB39" s="71"/>
      <c r="AC39" s="71"/>
      <c r="AD39" s="71"/>
      <c r="AE39" s="71"/>
      <c r="AF39" s="71"/>
      <c r="AG39" s="71"/>
      <c r="AH39" s="71"/>
      <c r="AI39" s="71"/>
      <c r="AJ39" s="71"/>
      <c r="AK39" s="71"/>
    </row>
    <row r="40" spans="1:37" s="27" customFormat="1" ht="11.1" customHeight="1" x14ac:dyDescent="0.2">
      <c r="A40" s="397"/>
      <c r="B40" s="399" t="s">
        <v>531</v>
      </c>
      <c r="C40" s="412">
        <f>Schedule!C394</f>
        <v>16084</v>
      </c>
      <c r="D40" s="351"/>
      <c r="E40" s="359"/>
      <c r="F40" s="360"/>
      <c r="G40" s="365"/>
      <c r="L40" s="71"/>
      <c r="M40" s="71"/>
      <c r="N40" s="71"/>
      <c r="O40" s="71"/>
      <c r="P40" s="71"/>
      <c r="Q40" s="71"/>
      <c r="R40" s="71"/>
      <c r="S40" s="71"/>
      <c r="T40" s="347"/>
      <c r="U40" s="348"/>
      <c r="V40" s="71"/>
      <c r="W40" s="71"/>
      <c r="X40" s="71"/>
      <c r="Y40" s="71"/>
      <c r="Z40" s="71"/>
      <c r="AA40" s="71"/>
      <c r="AB40" s="71"/>
      <c r="AC40" s="71"/>
      <c r="AD40" s="71"/>
      <c r="AE40" s="71"/>
      <c r="AF40" s="71"/>
      <c r="AG40" s="71"/>
      <c r="AH40" s="71"/>
      <c r="AI40" s="71"/>
      <c r="AJ40" s="71"/>
      <c r="AK40" s="71"/>
    </row>
    <row r="41" spans="1:37" s="27" customFormat="1" x14ac:dyDescent="0.2">
      <c r="A41" s="397"/>
      <c r="B41" s="399" t="s">
        <v>532</v>
      </c>
      <c r="C41" s="412">
        <f>Schedule!C436</f>
        <v>25936</v>
      </c>
      <c r="D41" s="364"/>
      <c r="E41" s="359"/>
      <c r="F41" s="360"/>
      <c r="G41" s="361"/>
      <c r="L41" s="71"/>
      <c r="M41" s="71"/>
      <c r="N41" s="71"/>
      <c r="O41" s="71"/>
      <c r="P41" s="71"/>
      <c r="Q41" s="71"/>
      <c r="R41" s="71"/>
      <c r="S41" s="71"/>
      <c r="T41" s="347"/>
      <c r="U41" s="348"/>
      <c r="V41" s="71"/>
      <c r="W41" s="71"/>
      <c r="X41" s="71"/>
      <c r="Y41" s="71"/>
      <c r="Z41" s="71"/>
      <c r="AA41" s="71"/>
      <c r="AB41" s="71"/>
      <c r="AC41" s="71"/>
      <c r="AD41" s="71"/>
      <c r="AE41" s="71"/>
      <c r="AF41" s="71"/>
      <c r="AG41" s="71"/>
      <c r="AH41" s="71"/>
      <c r="AI41" s="71"/>
      <c r="AJ41" s="71"/>
      <c r="AK41" s="71"/>
    </row>
    <row r="42" spans="1:37" s="27" customFormat="1" ht="11.1" customHeight="1" x14ac:dyDescent="0.2">
      <c r="A42" s="397"/>
      <c r="B42" s="399" t="s">
        <v>533</v>
      </c>
      <c r="C42" s="415">
        <f>Schedule!C444</f>
        <v>8260</v>
      </c>
      <c r="D42" s="364"/>
      <c r="E42" s="359"/>
      <c r="F42" s="360"/>
      <c r="G42" s="365"/>
      <c r="L42" s="71"/>
      <c r="M42" s="71"/>
      <c r="N42" s="71"/>
      <c r="O42" s="71"/>
      <c r="P42" s="71"/>
      <c r="Q42" s="71"/>
      <c r="R42" s="71"/>
      <c r="S42" s="71"/>
      <c r="T42" s="347"/>
      <c r="U42" s="348"/>
      <c r="V42" s="71"/>
      <c r="W42" s="71"/>
      <c r="X42" s="71"/>
      <c r="Y42" s="71"/>
      <c r="Z42" s="71"/>
      <c r="AA42" s="71"/>
      <c r="AB42" s="71"/>
      <c r="AC42" s="71"/>
      <c r="AD42" s="71"/>
      <c r="AE42" s="71"/>
      <c r="AF42" s="71"/>
      <c r="AG42" s="71"/>
      <c r="AH42" s="71"/>
      <c r="AI42" s="71"/>
      <c r="AJ42" s="71"/>
      <c r="AK42" s="71"/>
    </row>
    <row r="43" spans="1:37" s="27" customFormat="1" ht="12" customHeight="1" x14ac:dyDescent="0.2">
      <c r="A43" s="398"/>
      <c r="B43" s="399" t="s">
        <v>534</v>
      </c>
      <c r="C43" s="412">
        <f>Schedule!C460</f>
        <v>32784</v>
      </c>
      <c r="D43" s="364"/>
      <c r="E43" s="359"/>
      <c r="F43" s="366"/>
      <c r="G43" s="358"/>
      <c r="L43" s="71"/>
      <c r="M43" s="71"/>
      <c r="N43" s="71"/>
      <c r="O43" s="71"/>
      <c r="P43" s="71"/>
      <c r="Q43" s="71"/>
      <c r="R43" s="71"/>
      <c r="S43" s="71"/>
      <c r="T43" s="347"/>
      <c r="U43" s="348"/>
      <c r="V43" s="71"/>
      <c r="W43" s="71"/>
      <c r="X43" s="71"/>
      <c r="Y43" s="71"/>
      <c r="Z43" s="71"/>
      <c r="AA43" s="71"/>
      <c r="AB43" s="71"/>
      <c r="AC43" s="71"/>
      <c r="AD43" s="71"/>
      <c r="AE43" s="71"/>
      <c r="AF43" s="71"/>
      <c r="AG43" s="71"/>
      <c r="AH43" s="71"/>
      <c r="AI43" s="71"/>
      <c r="AJ43" s="71"/>
      <c r="AK43" s="71"/>
    </row>
    <row r="44" spans="1:37" s="27" customFormat="1" x14ac:dyDescent="0.2">
      <c r="A44" s="397"/>
      <c r="B44" s="399" t="s">
        <v>535</v>
      </c>
      <c r="C44" s="412">
        <f>Schedule!C474</f>
        <v>18860</v>
      </c>
      <c r="D44" s="364"/>
      <c r="E44" s="359"/>
      <c r="F44" s="360"/>
      <c r="G44" s="361"/>
      <c r="L44" s="71"/>
      <c r="M44" s="71"/>
      <c r="N44" s="71"/>
      <c r="O44" s="71"/>
      <c r="P44" s="71"/>
      <c r="Q44" s="71"/>
      <c r="R44" s="71"/>
      <c r="S44" s="71"/>
      <c r="T44" s="347"/>
      <c r="U44" s="348"/>
      <c r="V44" s="71"/>
      <c r="W44" s="71"/>
      <c r="X44" s="71"/>
      <c r="Y44" s="71"/>
      <c r="Z44" s="71"/>
      <c r="AA44" s="71"/>
      <c r="AB44" s="71"/>
      <c r="AC44" s="71"/>
      <c r="AD44" s="71"/>
      <c r="AE44" s="71"/>
      <c r="AF44" s="71"/>
      <c r="AG44" s="71"/>
      <c r="AH44" s="71"/>
      <c r="AI44" s="71"/>
      <c r="AJ44" s="71"/>
      <c r="AK44" s="71"/>
    </row>
    <row r="45" spans="1:37" s="27" customFormat="1" ht="11.1" customHeight="1" x14ac:dyDescent="0.2">
      <c r="A45" s="397"/>
      <c r="B45" s="399" t="s">
        <v>536</v>
      </c>
      <c r="C45" s="412">
        <f>Schedule!C489</f>
        <v>14036</v>
      </c>
      <c r="D45" s="364"/>
      <c r="E45" s="359"/>
      <c r="F45" s="366"/>
      <c r="G45" s="358"/>
      <c r="L45" s="71"/>
      <c r="M45" s="71"/>
      <c r="N45" s="71"/>
      <c r="O45" s="71"/>
      <c r="P45" s="71"/>
      <c r="Q45" s="71"/>
      <c r="R45" s="71"/>
      <c r="S45" s="71"/>
      <c r="T45" s="347"/>
      <c r="U45" s="348"/>
      <c r="V45" s="71"/>
      <c r="W45" s="71"/>
      <c r="X45" s="71"/>
      <c r="Y45" s="71"/>
      <c r="Z45" s="71"/>
      <c r="AA45" s="71"/>
      <c r="AB45" s="71"/>
      <c r="AC45" s="71"/>
      <c r="AD45" s="71"/>
      <c r="AE45" s="71"/>
      <c r="AF45" s="71"/>
      <c r="AG45" s="71"/>
      <c r="AH45" s="71"/>
      <c r="AI45" s="71"/>
      <c r="AJ45" s="71"/>
      <c r="AK45" s="71"/>
    </row>
    <row r="46" spans="1:37" s="27" customFormat="1" x14ac:dyDescent="0.2">
      <c r="A46" s="397"/>
      <c r="B46" s="399" t="s">
        <v>537</v>
      </c>
      <c r="C46" s="412">
        <f>Schedule!C510</f>
        <v>13923</v>
      </c>
      <c r="D46" s="364"/>
      <c r="E46" s="359"/>
      <c r="F46" s="366"/>
      <c r="G46" s="358"/>
      <c r="L46" s="71"/>
      <c r="M46" s="71"/>
      <c r="N46" s="71"/>
      <c r="O46" s="71"/>
      <c r="P46" s="71"/>
      <c r="Q46" s="71"/>
      <c r="R46" s="71"/>
      <c r="S46" s="71"/>
      <c r="T46" s="347"/>
      <c r="U46" s="348"/>
      <c r="V46" s="71"/>
      <c r="W46" s="71"/>
      <c r="X46" s="71"/>
      <c r="Y46" s="71"/>
      <c r="Z46" s="71"/>
      <c r="AA46" s="71"/>
      <c r="AB46" s="71"/>
      <c r="AC46" s="71"/>
      <c r="AD46" s="71"/>
      <c r="AE46" s="71"/>
      <c r="AF46" s="71"/>
      <c r="AG46" s="71"/>
      <c r="AH46" s="71"/>
      <c r="AI46" s="71"/>
      <c r="AJ46" s="71"/>
      <c r="AK46" s="71"/>
    </row>
    <row r="47" spans="1:37" s="27" customFormat="1" ht="11.1" customHeight="1" x14ac:dyDescent="0.2">
      <c r="A47" s="397"/>
      <c r="B47" s="399" t="s">
        <v>538</v>
      </c>
      <c r="C47" s="412">
        <f>Schedule!C522</f>
        <v>10876</v>
      </c>
      <c r="D47" s="364"/>
      <c r="E47" s="359"/>
      <c r="F47" s="360"/>
      <c r="G47" s="361"/>
      <c r="L47" s="71"/>
      <c r="M47" s="71"/>
      <c r="N47" s="71"/>
      <c r="O47" s="71"/>
      <c r="P47" s="71"/>
      <c r="Q47" s="71"/>
      <c r="R47" s="71"/>
      <c r="S47" s="71"/>
      <c r="T47" s="347"/>
      <c r="U47" s="348"/>
      <c r="V47" s="71"/>
      <c r="W47" s="71"/>
      <c r="X47" s="71"/>
      <c r="Y47" s="71"/>
      <c r="Z47" s="71"/>
      <c r="AA47" s="71"/>
      <c r="AB47" s="71"/>
      <c r="AC47" s="71"/>
      <c r="AD47" s="71"/>
      <c r="AE47" s="71"/>
      <c r="AF47" s="71"/>
      <c r="AG47" s="71"/>
      <c r="AH47" s="71"/>
      <c r="AI47" s="71"/>
      <c r="AJ47" s="71"/>
      <c r="AK47" s="71"/>
    </row>
    <row r="48" spans="1:37" s="27" customFormat="1" ht="12" customHeight="1" x14ac:dyDescent="0.2">
      <c r="A48" s="398"/>
      <c r="B48" s="399" t="s">
        <v>539</v>
      </c>
      <c r="C48" s="412">
        <f>Schedule!C527</f>
        <v>3020</v>
      </c>
      <c r="D48" s="364"/>
      <c r="E48" s="359"/>
      <c r="F48" s="366"/>
      <c r="G48" s="361"/>
      <c r="L48" s="71"/>
      <c r="M48" s="71"/>
      <c r="N48" s="71"/>
      <c r="O48" s="71"/>
      <c r="P48" s="71"/>
      <c r="Q48" s="71"/>
      <c r="R48" s="71"/>
      <c r="S48" s="71"/>
      <c r="T48" s="347"/>
      <c r="U48" s="348"/>
      <c r="V48" s="71"/>
      <c r="W48" s="71"/>
      <c r="X48" s="71"/>
      <c r="Y48" s="71"/>
      <c r="Z48" s="71"/>
      <c r="AA48" s="71"/>
      <c r="AB48" s="71"/>
      <c r="AC48" s="71"/>
      <c r="AD48" s="71"/>
      <c r="AE48" s="71"/>
      <c r="AF48" s="71"/>
      <c r="AG48" s="71"/>
      <c r="AH48" s="71"/>
      <c r="AI48" s="71"/>
      <c r="AJ48" s="71"/>
      <c r="AK48" s="71"/>
    </row>
    <row r="49" spans="1:37" s="27" customFormat="1" ht="12" customHeight="1" x14ac:dyDescent="0.2">
      <c r="A49" s="398"/>
      <c r="B49" s="399"/>
      <c r="C49" s="412"/>
      <c r="D49" s="364"/>
      <c r="E49" s="359"/>
      <c r="F49" s="366"/>
      <c r="G49" s="361"/>
      <c r="L49" s="71"/>
      <c r="M49" s="71"/>
      <c r="N49" s="71"/>
      <c r="O49" s="71"/>
      <c r="P49" s="71"/>
      <c r="Q49" s="71"/>
      <c r="R49" s="71"/>
      <c r="S49" s="71"/>
      <c r="T49" s="347"/>
      <c r="U49" s="348"/>
      <c r="V49" s="71"/>
      <c r="W49" s="71"/>
      <c r="X49" s="71"/>
      <c r="Y49" s="71"/>
      <c r="Z49" s="71"/>
      <c r="AA49" s="71"/>
      <c r="AB49" s="71"/>
      <c r="AC49" s="71"/>
      <c r="AD49" s="71"/>
      <c r="AE49" s="71"/>
      <c r="AF49" s="71"/>
      <c r="AG49" s="71"/>
      <c r="AH49" s="71"/>
      <c r="AI49" s="71"/>
      <c r="AJ49" s="71"/>
      <c r="AK49" s="71"/>
    </row>
    <row r="50" spans="1:37" s="27" customFormat="1" x14ac:dyDescent="0.2">
      <c r="A50" s="397"/>
      <c r="B50" s="406" t="s">
        <v>594</v>
      </c>
      <c r="C50" s="412"/>
      <c r="D50" s="364"/>
      <c r="E50" s="359"/>
      <c r="F50" s="366"/>
      <c r="G50" s="361"/>
      <c r="L50" s="71"/>
      <c r="M50" s="71"/>
      <c r="N50" s="71"/>
      <c r="O50" s="71"/>
      <c r="P50" s="71"/>
      <c r="Q50" s="71"/>
      <c r="R50" s="71"/>
      <c r="S50" s="71"/>
      <c r="T50" s="347"/>
      <c r="U50" s="348"/>
      <c r="V50" s="71"/>
      <c r="W50" s="71"/>
      <c r="X50" s="71"/>
      <c r="Y50" s="71"/>
      <c r="Z50" s="71"/>
      <c r="AA50" s="71"/>
      <c r="AB50" s="71"/>
      <c r="AC50" s="71"/>
      <c r="AD50" s="71"/>
      <c r="AE50" s="71"/>
      <c r="AF50" s="71"/>
      <c r="AG50" s="71"/>
      <c r="AH50" s="71"/>
      <c r="AI50" s="71"/>
      <c r="AJ50" s="71"/>
      <c r="AK50" s="71"/>
    </row>
    <row r="51" spans="1:37" s="27" customFormat="1" x14ac:dyDescent="0.2">
      <c r="A51" s="397"/>
      <c r="B51" s="406"/>
      <c r="C51" s="412"/>
      <c r="D51" s="364"/>
      <c r="E51" s="359"/>
      <c r="F51" s="366"/>
      <c r="G51" s="361"/>
      <c r="L51" s="71"/>
      <c r="M51" s="71"/>
      <c r="N51" s="71"/>
      <c r="O51" s="71"/>
      <c r="P51" s="71"/>
      <c r="Q51" s="71"/>
      <c r="R51" s="71"/>
      <c r="S51" s="71"/>
      <c r="T51" s="347"/>
      <c r="U51" s="348"/>
      <c r="V51" s="71"/>
      <c r="W51" s="71"/>
      <c r="X51" s="71"/>
      <c r="Y51" s="71"/>
      <c r="Z51" s="71"/>
      <c r="AA51" s="71"/>
      <c r="AB51" s="71"/>
      <c r="AC51" s="71"/>
      <c r="AD51" s="71"/>
      <c r="AE51" s="71"/>
      <c r="AF51" s="71"/>
      <c r="AG51" s="71"/>
      <c r="AH51" s="71"/>
      <c r="AI51" s="71"/>
      <c r="AJ51" s="71"/>
      <c r="AK51" s="71"/>
    </row>
    <row r="52" spans="1:37" s="27" customFormat="1" ht="12" customHeight="1" x14ac:dyDescent="0.2">
      <c r="A52" s="398"/>
      <c r="B52" s="399" t="s">
        <v>540</v>
      </c>
      <c r="C52" s="415" t="s">
        <v>680</v>
      </c>
      <c r="D52" s="364"/>
      <c r="E52" s="359"/>
      <c r="F52" s="360"/>
      <c r="G52" s="361"/>
      <c r="L52" s="71"/>
      <c r="M52" s="71"/>
      <c r="N52" s="71"/>
      <c r="O52" s="71"/>
      <c r="P52" s="71"/>
      <c r="Q52" s="71"/>
      <c r="R52" s="71"/>
      <c r="S52" s="71"/>
      <c r="T52" s="347"/>
      <c r="U52" s="348"/>
      <c r="V52" s="71"/>
      <c r="W52" s="71"/>
      <c r="X52" s="71"/>
      <c r="Y52" s="71"/>
      <c r="Z52" s="71"/>
      <c r="AA52" s="71"/>
      <c r="AB52" s="71"/>
      <c r="AC52" s="71"/>
      <c r="AD52" s="71"/>
      <c r="AE52" s="71"/>
      <c r="AF52" s="71"/>
      <c r="AG52" s="71"/>
      <c r="AH52" s="71"/>
      <c r="AI52" s="71"/>
      <c r="AJ52" s="71"/>
      <c r="AK52" s="71"/>
    </row>
    <row r="53" spans="1:37" s="27" customFormat="1" x14ac:dyDescent="0.2">
      <c r="A53" s="397"/>
      <c r="B53" s="399" t="s">
        <v>541</v>
      </c>
      <c r="C53" s="412">
        <f>Schedule!C634</f>
        <v>28010</v>
      </c>
      <c r="D53" s="364"/>
      <c r="E53" s="359"/>
      <c r="F53" s="360"/>
      <c r="G53" s="361"/>
      <c r="L53" s="71"/>
      <c r="M53" s="71"/>
      <c r="N53" s="71"/>
      <c r="O53" s="71"/>
      <c r="P53" s="71"/>
      <c r="Q53" s="71"/>
      <c r="R53" s="71"/>
      <c r="S53" s="71"/>
      <c r="T53" s="347"/>
      <c r="U53" s="348"/>
      <c r="V53" s="71"/>
      <c r="W53" s="71"/>
      <c r="X53" s="71"/>
      <c r="Y53" s="71"/>
      <c r="Z53" s="71"/>
      <c r="AA53" s="71"/>
      <c r="AB53" s="71"/>
      <c r="AC53" s="71"/>
      <c r="AD53" s="71"/>
      <c r="AE53" s="71"/>
      <c r="AF53" s="71"/>
      <c r="AG53" s="71"/>
      <c r="AH53" s="71"/>
      <c r="AI53" s="71"/>
      <c r="AJ53" s="71"/>
      <c r="AK53" s="71"/>
    </row>
    <row r="54" spans="1:37" s="27" customFormat="1" ht="11.1" customHeight="1" x14ac:dyDescent="0.2">
      <c r="A54" s="397"/>
      <c r="B54" s="399" t="s">
        <v>542</v>
      </c>
      <c r="C54" s="412">
        <f>Schedule!C639</f>
        <v>1890</v>
      </c>
      <c r="D54" s="364"/>
      <c r="E54" s="359"/>
      <c r="F54" s="360"/>
      <c r="G54" s="361"/>
      <c r="L54" s="71"/>
      <c r="M54" s="71"/>
      <c r="N54" s="71"/>
      <c r="O54" s="71"/>
      <c r="P54" s="71"/>
      <c r="Q54" s="71"/>
      <c r="R54" s="71"/>
      <c r="S54" s="71"/>
      <c r="T54" s="347"/>
      <c r="U54" s="348"/>
      <c r="V54" s="71"/>
      <c r="W54" s="71"/>
      <c r="X54" s="71"/>
      <c r="Y54" s="71"/>
      <c r="Z54" s="71"/>
      <c r="AA54" s="71"/>
      <c r="AB54" s="71"/>
      <c r="AC54" s="71"/>
      <c r="AD54" s="71"/>
      <c r="AE54" s="71"/>
      <c r="AF54" s="71"/>
      <c r="AG54" s="71"/>
      <c r="AH54" s="71"/>
      <c r="AI54" s="71"/>
      <c r="AJ54" s="71"/>
      <c r="AK54" s="71"/>
    </row>
    <row r="55" spans="1:37" s="27" customFormat="1" x14ac:dyDescent="0.2">
      <c r="A55" s="397"/>
      <c r="B55" s="399" t="s">
        <v>543</v>
      </c>
      <c r="C55" s="412">
        <f>Schedule!C651</f>
        <v>16520</v>
      </c>
      <c r="D55" s="364"/>
      <c r="E55" s="359"/>
      <c r="F55" s="360"/>
      <c r="G55" s="361"/>
      <c r="L55" s="71"/>
      <c r="M55" s="71"/>
      <c r="N55" s="71"/>
      <c r="O55" s="71"/>
      <c r="P55" s="71"/>
      <c r="Q55" s="71"/>
      <c r="R55" s="71"/>
      <c r="S55" s="71"/>
      <c r="T55" s="347"/>
      <c r="U55" s="348"/>
      <c r="V55" s="71"/>
      <c r="W55" s="71"/>
      <c r="X55" s="71"/>
      <c r="Y55" s="71"/>
      <c r="Z55" s="71"/>
      <c r="AA55" s="71"/>
      <c r="AB55" s="71"/>
      <c r="AC55" s="71"/>
      <c r="AD55" s="71"/>
      <c r="AE55" s="71"/>
      <c r="AF55" s="71"/>
      <c r="AG55" s="71"/>
      <c r="AH55" s="71"/>
      <c r="AI55" s="71"/>
      <c r="AJ55" s="71"/>
      <c r="AK55" s="71"/>
    </row>
    <row r="56" spans="1:37" s="27" customFormat="1" ht="11.1" customHeight="1" x14ac:dyDescent="0.2">
      <c r="A56" s="397"/>
      <c r="B56" s="399" t="s">
        <v>544</v>
      </c>
      <c r="C56" s="412">
        <f>Schedule!C665</f>
        <v>1222</v>
      </c>
      <c r="D56" s="364"/>
      <c r="E56" s="359"/>
      <c r="F56" s="360"/>
      <c r="G56" s="361"/>
      <c r="L56" s="71"/>
      <c r="M56" s="71"/>
      <c r="N56" s="71"/>
      <c r="O56" s="71"/>
      <c r="P56" s="71"/>
      <c r="Q56" s="71"/>
      <c r="R56" s="71"/>
      <c r="S56" s="71"/>
      <c r="T56" s="347"/>
      <c r="U56" s="348"/>
      <c r="V56" s="71"/>
      <c r="W56" s="71"/>
      <c r="X56" s="71"/>
      <c r="Y56" s="71"/>
      <c r="Z56" s="71"/>
      <c r="AA56" s="71"/>
      <c r="AB56" s="71"/>
      <c r="AC56" s="71"/>
      <c r="AD56" s="71"/>
      <c r="AE56" s="71"/>
      <c r="AF56" s="71"/>
      <c r="AG56" s="71"/>
      <c r="AH56" s="71"/>
      <c r="AI56" s="71"/>
      <c r="AJ56" s="71"/>
      <c r="AK56" s="71"/>
    </row>
    <row r="57" spans="1:37" s="27" customFormat="1" x14ac:dyDescent="0.2">
      <c r="A57" s="397"/>
      <c r="B57" s="399" t="s">
        <v>545</v>
      </c>
      <c r="C57" s="415" t="s">
        <v>599</v>
      </c>
      <c r="D57" s="364"/>
      <c r="E57" s="359"/>
      <c r="F57" s="366"/>
      <c r="G57" s="361"/>
      <c r="L57" s="71"/>
      <c r="M57" s="71"/>
      <c r="N57" s="71"/>
      <c r="O57" s="71"/>
      <c r="P57" s="71"/>
      <c r="Q57" s="71"/>
      <c r="R57" s="71"/>
      <c r="S57" s="71"/>
      <c r="T57" s="347"/>
      <c r="U57" s="348"/>
      <c r="V57" s="71"/>
      <c r="W57" s="71"/>
      <c r="X57" s="71"/>
      <c r="Y57" s="71"/>
      <c r="Z57" s="71"/>
      <c r="AA57" s="71"/>
      <c r="AB57" s="71"/>
      <c r="AC57" s="71"/>
      <c r="AD57" s="71"/>
      <c r="AE57" s="71"/>
      <c r="AF57" s="71"/>
      <c r="AG57" s="71"/>
      <c r="AH57" s="71"/>
      <c r="AI57" s="71"/>
      <c r="AJ57" s="71"/>
      <c r="AK57" s="71"/>
    </row>
    <row r="58" spans="1:37" s="27" customFormat="1" ht="11.1" customHeight="1" x14ac:dyDescent="0.2">
      <c r="A58" s="397"/>
      <c r="B58" s="399" t="s">
        <v>546</v>
      </c>
      <c r="C58" s="412">
        <f>Schedule!C693</f>
        <v>4546</v>
      </c>
      <c r="D58" s="364"/>
      <c r="E58" s="359"/>
      <c r="F58" s="360"/>
      <c r="G58" s="361"/>
      <c r="L58" s="71"/>
      <c r="M58" s="71"/>
      <c r="N58" s="71"/>
      <c r="O58" s="71"/>
      <c r="P58" s="71"/>
      <c r="Q58" s="71"/>
      <c r="R58" s="71"/>
      <c r="S58" s="71"/>
      <c r="T58" s="347"/>
      <c r="U58" s="348"/>
      <c r="V58" s="71"/>
      <c r="W58" s="71"/>
      <c r="X58" s="71"/>
      <c r="Y58" s="71"/>
      <c r="Z58" s="71"/>
      <c r="AA58" s="71"/>
      <c r="AB58" s="71"/>
      <c r="AC58" s="71"/>
      <c r="AD58" s="71"/>
      <c r="AE58" s="71"/>
      <c r="AF58" s="71"/>
      <c r="AG58" s="71"/>
      <c r="AH58" s="71"/>
      <c r="AI58" s="71"/>
      <c r="AJ58" s="71"/>
      <c r="AK58" s="71"/>
    </row>
    <row r="59" spans="1:37" s="27" customFormat="1" x14ac:dyDescent="0.2">
      <c r="A59" s="397"/>
      <c r="B59" s="399" t="s">
        <v>547</v>
      </c>
      <c r="C59" s="415" t="s">
        <v>599</v>
      </c>
      <c r="D59" s="364"/>
      <c r="E59" s="359"/>
      <c r="F59" s="360"/>
      <c r="G59" s="361"/>
      <c r="L59" s="71"/>
      <c r="M59" s="71"/>
      <c r="N59" s="71"/>
      <c r="O59" s="71"/>
      <c r="P59" s="71"/>
      <c r="Q59" s="71"/>
      <c r="R59" s="71"/>
      <c r="S59" s="71"/>
      <c r="T59" s="347"/>
      <c r="U59" s="348"/>
      <c r="V59" s="71"/>
      <c r="W59" s="71"/>
      <c r="X59" s="71"/>
      <c r="Y59" s="71"/>
      <c r="Z59" s="71"/>
      <c r="AA59" s="71"/>
      <c r="AB59" s="71"/>
      <c r="AC59" s="71"/>
      <c r="AD59" s="71"/>
      <c r="AE59" s="71"/>
      <c r="AF59" s="71"/>
      <c r="AG59" s="71"/>
      <c r="AH59" s="71"/>
      <c r="AI59" s="71"/>
      <c r="AJ59" s="71"/>
      <c r="AK59" s="71"/>
    </row>
    <row r="60" spans="1:37" s="27" customFormat="1" ht="11.1" customHeight="1" x14ac:dyDescent="0.2">
      <c r="A60" s="397"/>
      <c r="B60" s="399" t="s">
        <v>548</v>
      </c>
      <c r="C60" s="412">
        <f>Schedule!C705</f>
        <v>1000</v>
      </c>
      <c r="D60" s="364"/>
      <c r="E60" s="359"/>
      <c r="F60" s="360"/>
      <c r="G60" s="361"/>
      <c r="L60" s="71"/>
      <c r="M60" s="71"/>
      <c r="N60" s="71"/>
      <c r="O60" s="71"/>
      <c r="P60" s="71"/>
      <c r="Q60" s="71"/>
      <c r="R60" s="71"/>
      <c r="S60" s="71"/>
      <c r="T60" s="347"/>
      <c r="U60" s="348"/>
      <c r="V60" s="71"/>
      <c r="W60" s="71"/>
      <c r="X60" s="71"/>
      <c r="Y60" s="71"/>
      <c r="Z60" s="71"/>
      <c r="AA60" s="71"/>
      <c r="AB60" s="71"/>
      <c r="AC60" s="71"/>
      <c r="AD60" s="71"/>
      <c r="AE60" s="71"/>
      <c r="AF60" s="71"/>
      <c r="AG60" s="71"/>
      <c r="AH60" s="71"/>
      <c r="AI60" s="71"/>
      <c r="AJ60" s="71"/>
      <c r="AK60" s="71"/>
    </row>
    <row r="61" spans="1:37" s="27" customFormat="1" x14ac:dyDescent="0.2">
      <c r="A61" s="397"/>
      <c r="B61" s="399" t="s">
        <v>549</v>
      </c>
      <c r="C61" s="415" t="s">
        <v>599</v>
      </c>
      <c r="D61" s="364"/>
      <c r="E61" s="359"/>
      <c r="F61" s="360"/>
      <c r="G61" s="361"/>
      <c r="L61" s="71"/>
      <c r="M61" s="71"/>
      <c r="N61" s="71"/>
      <c r="O61" s="71"/>
      <c r="P61" s="71"/>
      <c r="Q61" s="71"/>
      <c r="R61" s="71"/>
      <c r="S61" s="71"/>
      <c r="T61" s="347"/>
      <c r="U61" s="348"/>
      <c r="V61" s="71"/>
      <c r="W61" s="71"/>
      <c r="X61" s="71"/>
      <c r="Y61" s="71"/>
      <c r="Z61" s="71"/>
      <c r="AA61" s="71"/>
      <c r="AB61" s="71"/>
      <c r="AC61" s="71"/>
      <c r="AD61" s="71"/>
      <c r="AE61" s="71"/>
      <c r="AF61" s="71"/>
      <c r="AG61" s="71"/>
      <c r="AH61" s="71"/>
      <c r="AI61" s="71"/>
      <c r="AJ61" s="71"/>
      <c r="AK61" s="71"/>
    </row>
    <row r="62" spans="1:37" s="27" customFormat="1" x14ac:dyDescent="0.2">
      <c r="A62" s="397"/>
      <c r="B62" s="399"/>
      <c r="C62" s="415"/>
      <c r="D62" s="364"/>
      <c r="E62" s="359"/>
      <c r="F62" s="360"/>
      <c r="G62" s="361"/>
      <c r="L62" s="71"/>
      <c r="M62" s="71"/>
      <c r="N62" s="71"/>
      <c r="O62" s="71"/>
      <c r="P62" s="71"/>
      <c r="Q62" s="71"/>
      <c r="R62" s="71"/>
      <c r="S62" s="71"/>
      <c r="T62" s="347"/>
      <c r="U62" s="348"/>
      <c r="V62" s="71"/>
      <c r="W62" s="71"/>
      <c r="X62" s="71"/>
      <c r="Y62" s="71"/>
      <c r="Z62" s="71"/>
      <c r="AA62" s="71"/>
      <c r="AB62" s="71"/>
      <c r="AC62" s="71"/>
      <c r="AD62" s="71"/>
      <c r="AE62" s="71"/>
      <c r="AF62" s="71"/>
      <c r="AG62" s="71"/>
      <c r="AH62" s="71"/>
      <c r="AI62" s="71"/>
      <c r="AJ62" s="71"/>
      <c r="AK62" s="71"/>
    </row>
    <row r="63" spans="1:37" s="27" customFormat="1" x14ac:dyDescent="0.2">
      <c r="A63" s="397"/>
      <c r="B63" s="399" t="s">
        <v>550</v>
      </c>
      <c r="C63" s="412">
        <v>15000</v>
      </c>
      <c r="D63" s="364"/>
      <c r="E63" s="359"/>
      <c r="F63" s="360"/>
      <c r="G63" s="361"/>
      <c r="L63" s="71"/>
      <c r="M63" s="71"/>
      <c r="N63" s="71"/>
      <c r="O63" s="71"/>
      <c r="P63" s="71"/>
      <c r="Q63" s="71"/>
      <c r="R63" s="71"/>
      <c r="S63" s="71"/>
      <c r="T63" s="347"/>
      <c r="U63" s="348"/>
      <c r="V63" s="71"/>
      <c r="W63" s="71"/>
      <c r="X63" s="71"/>
      <c r="Y63" s="71"/>
      <c r="Z63" s="71"/>
      <c r="AA63" s="71"/>
      <c r="AB63" s="71"/>
      <c r="AC63" s="71"/>
      <c r="AD63" s="71"/>
      <c r="AE63" s="71"/>
      <c r="AF63" s="71"/>
      <c r="AG63" s="71"/>
      <c r="AH63" s="71"/>
      <c r="AI63" s="71"/>
      <c r="AJ63" s="71"/>
      <c r="AK63" s="71"/>
    </row>
    <row r="64" spans="1:37" s="27" customFormat="1" ht="11.1" customHeight="1" x14ac:dyDescent="0.2">
      <c r="A64" s="397"/>
      <c r="B64" s="397"/>
      <c r="C64" s="412"/>
      <c r="D64" s="364"/>
      <c r="E64" s="359"/>
      <c r="F64" s="360"/>
      <c r="G64" s="361"/>
      <c r="L64" s="71"/>
      <c r="M64" s="71"/>
      <c r="N64" s="71"/>
      <c r="O64" s="71"/>
      <c r="P64" s="71"/>
      <c r="Q64" s="71"/>
      <c r="R64" s="71"/>
      <c r="S64" s="71"/>
      <c r="T64" s="347"/>
      <c r="U64" s="348"/>
      <c r="V64" s="71"/>
      <c r="W64" s="71"/>
      <c r="X64" s="71"/>
      <c r="Y64" s="71"/>
      <c r="Z64" s="71"/>
      <c r="AA64" s="71"/>
      <c r="AB64" s="71"/>
      <c r="AC64" s="71"/>
      <c r="AD64" s="71"/>
      <c r="AE64" s="71"/>
      <c r="AF64" s="71"/>
      <c r="AG64" s="71"/>
      <c r="AH64" s="71"/>
      <c r="AI64" s="71"/>
      <c r="AJ64" s="71"/>
      <c r="AK64" s="71"/>
    </row>
    <row r="65" spans="1:37" s="27" customFormat="1" ht="10.5" customHeight="1" x14ac:dyDescent="0.2">
      <c r="A65" s="446"/>
      <c r="B65" s="444" t="s">
        <v>552</v>
      </c>
      <c r="C65" s="445">
        <f>SUM(C9:C63)</f>
        <v>402707.76222222223</v>
      </c>
      <c r="D65" s="364"/>
      <c r="E65" s="431">
        <f>Schedule!C723</f>
        <v>696399.52444444445</v>
      </c>
      <c r="F65" s="360">
        <f>E65-C65</f>
        <v>293691.76222222223</v>
      </c>
      <c r="G65" s="361"/>
      <c r="L65" s="71"/>
      <c r="M65" s="71"/>
      <c r="N65" s="71"/>
      <c r="O65" s="71"/>
      <c r="P65" s="71"/>
      <c r="Q65" s="71"/>
      <c r="R65" s="71"/>
      <c r="S65" s="71"/>
      <c r="T65" s="347"/>
      <c r="U65" s="348"/>
      <c r="V65" s="71"/>
      <c r="W65" s="71"/>
      <c r="X65" s="71"/>
      <c r="Y65" s="71"/>
      <c r="Z65" s="71"/>
      <c r="AA65" s="71"/>
      <c r="AB65" s="71"/>
      <c r="AC65" s="71"/>
      <c r="AD65" s="71"/>
      <c r="AE65" s="71"/>
      <c r="AF65" s="71"/>
      <c r="AG65" s="71"/>
      <c r="AH65" s="71"/>
      <c r="AI65" s="71"/>
      <c r="AJ65" s="71"/>
      <c r="AK65" s="71"/>
    </row>
    <row r="66" spans="1:37" s="27" customFormat="1" x14ac:dyDescent="0.2">
      <c r="A66" s="14"/>
      <c r="B66" s="383"/>
      <c r="C66" s="14"/>
      <c r="D66" s="364"/>
      <c r="E66" s="359"/>
      <c r="F66" s="366"/>
      <c r="G66" s="358"/>
      <c r="L66" s="71"/>
      <c r="M66" s="71"/>
      <c r="N66" s="71"/>
      <c r="O66" s="71"/>
      <c r="P66" s="71"/>
      <c r="Q66" s="71"/>
      <c r="R66" s="71"/>
      <c r="S66" s="71"/>
      <c r="T66" s="347"/>
      <c r="U66" s="348"/>
      <c r="V66" s="71"/>
      <c r="W66" s="71"/>
      <c r="X66" s="71"/>
      <c r="Y66" s="71"/>
      <c r="Z66" s="71"/>
      <c r="AA66" s="71"/>
      <c r="AB66" s="71"/>
      <c r="AC66" s="71"/>
      <c r="AD66" s="71"/>
      <c r="AE66" s="71"/>
      <c r="AF66" s="71"/>
      <c r="AG66" s="71"/>
      <c r="AH66" s="71"/>
      <c r="AI66" s="71"/>
      <c r="AJ66" s="71"/>
      <c r="AK66" s="71"/>
    </row>
    <row r="67" spans="1:37" s="27" customFormat="1" x14ac:dyDescent="0.2">
      <c r="A67" s="400" t="s">
        <v>554</v>
      </c>
      <c r="B67" s="14"/>
      <c r="C67" s="14"/>
      <c r="D67" s="364"/>
      <c r="E67" s="359"/>
      <c r="F67" s="360"/>
      <c r="G67" s="361"/>
      <c r="L67" s="71"/>
      <c r="M67" s="71"/>
      <c r="N67" s="71"/>
      <c r="O67" s="71"/>
      <c r="P67" s="71"/>
      <c r="Q67" s="71"/>
      <c r="R67" s="71"/>
      <c r="S67" s="71"/>
      <c r="T67" s="347"/>
      <c r="U67" s="348"/>
      <c r="V67" s="71"/>
      <c r="W67" s="71"/>
      <c r="X67" s="71"/>
      <c r="Y67" s="71"/>
      <c r="Z67" s="71"/>
      <c r="AA67" s="71"/>
      <c r="AB67" s="71"/>
      <c r="AC67" s="71"/>
      <c r="AD67" s="71"/>
      <c r="AE67" s="71"/>
      <c r="AF67" s="71"/>
      <c r="AG67" s="71"/>
      <c r="AH67" s="71"/>
      <c r="AI67" s="71"/>
      <c r="AJ67" s="71"/>
      <c r="AK67" s="71"/>
    </row>
    <row r="68" spans="1:37" s="27" customFormat="1" ht="24.75" customHeight="1" x14ac:dyDescent="0.2">
      <c r="A68" s="447" t="s">
        <v>661</v>
      </c>
      <c r="B68" s="447"/>
      <c r="C68" s="447"/>
      <c r="D68" s="364"/>
      <c r="E68" s="359"/>
      <c r="F68" s="360"/>
      <c r="G68" s="358"/>
      <c r="L68" s="71"/>
      <c r="M68" s="71"/>
      <c r="N68" s="71"/>
      <c r="O68" s="71"/>
      <c r="P68" s="71"/>
      <c r="Q68" s="71"/>
      <c r="R68" s="71"/>
      <c r="S68" s="71"/>
      <c r="T68" s="347"/>
      <c r="U68" s="348"/>
      <c r="V68" s="71"/>
      <c r="W68" s="71"/>
      <c r="X68" s="71"/>
      <c r="Y68" s="71"/>
      <c r="Z68" s="71"/>
      <c r="AA68" s="71"/>
      <c r="AB68" s="71"/>
      <c r="AC68" s="71"/>
      <c r="AD68" s="71"/>
      <c r="AE68" s="71"/>
      <c r="AF68" s="71"/>
      <c r="AG68" s="71"/>
      <c r="AH68" s="71"/>
      <c r="AI68" s="71"/>
      <c r="AJ68" s="71"/>
      <c r="AK68" s="71"/>
    </row>
    <row r="69" spans="1:37" s="27" customFormat="1" ht="25.5" customHeight="1" x14ac:dyDescent="0.2">
      <c r="A69" s="447" t="s">
        <v>689</v>
      </c>
      <c r="B69" s="447"/>
      <c r="C69" s="447"/>
      <c r="D69" s="364"/>
      <c r="E69" s="359"/>
      <c r="F69" s="367"/>
      <c r="G69" s="368"/>
      <c r="H69" s="64"/>
      <c r="L69" s="71"/>
      <c r="M69" s="71"/>
      <c r="N69" s="71"/>
      <c r="O69" s="71"/>
      <c r="P69" s="71"/>
      <c r="Q69" s="71"/>
      <c r="R69" s="71"/>
      <c r="S69" s="71"/>
      <c r="T69" s="347"/>
      <c r="U69" s="348"/>
      <c r="V69" s="71"/>
      <c r="W69" s="71"/>
      <c r="X69" s="71"/>
      <c r="Y69" s="71"/>
      <c r="Z69" s="71"/>
      <c r="AA69" s="71"/>
      <c r="AB69" s="71"/>
      <c r="AC69" s="71"/>
      <c r="AD69" s="71"/>
      <c r="AE69" s="71"/>
      <c r="AF69" s="71"/>
      <c r="AG69" s="71"/>
      <c r="AH69" s="71"/>
      <c r="AI69" s="71"/>
      <c r="AJ69" s="71"/>
      <c r="AK69" s="71"/>
    </row>
    <row r="70" spans="1:37" s="27" customFormat="1" x14ac:dyDescent="0.2">
      <c r="A70" s="447" t="s">
        <v>662</v>
      </c>
      <c r="B70" s="447"/>
      <c r="C70" s="447"/>
      <c r="D70" s="364"/>
      <c r="E70" s="359"/>
      <c r="F70" s="366"/>
      <c r="G70" s="358"/>
      <c r="L70" s="71"/>
      <c r="M70" s="71"/>
      <c r="N70" s="71"/>
      <c r="O70" s="71"/>
      <c r="P70" s="71"/>
      <c r="Q70" s="71"/>
      <c r="R70" s="71"/>
      <c r="S70" s="71"/>
      <c r="T70" s="347"/>
      <c r="U70" s="348"/>
      <c r="V70" s="71"/>
      <c r="W70" s="71"/>
      <c r="X70" s="71"/>
      <c r="Y70" s="71"/>
      <c r="Z70" s="71"/>
      <c r="AA70" s="71"/>
      <c r="AB70" s="71"/>
      <c r="AC70" s="71"/>
      <c r="AD70" s="71"/>
      <c r="AE70" s="71"/>
      <c r="AF70" s="71"/>
      <c r="AG70" s="71"/>
      <c r="AH70" s="71"/>
      <c r="AI70" s="71"/>
      <c r="AJ70" s="71"/>
      <c r="AK70" s="71"/>
    </row>
    <row r="71" spans="1:37" s="27" customFormat="1" x14ac:dyDescent="0.2">
      <c r="A71" s="447" t="s">
        <v>688</v>
      </c>
      <c r="B71" s="447"/>
      <c r="C71" s="447"/>
      <c r="D71" s="364"/>
      <c r="E71" s="369"/>
      <c r="F71" s="360"/>
      <c r="G71" s="361"/>
      <c r="L71" s="71"/>
      <c r="M71" s="71"/>
      <c r="N71" s="71"/>
      <c r="O71" s="71"/>
      <c r="P71" s="71"/>
      <c r="Q71" s="71"/>
      <c r="R71" s="71"/>
      <c r="S71" s="71"/>
      <c r="T71" s="347"/>
      <c r="U71" s="348"/>
      <c r="V71" s="71"/>
      <c r="W71" s="71"/>
      <c r="X71" s="71"/>
      <c r="Y71" s="71"/>
      <c r="Z71" s="71"/>
      <c r="AA71" s="71"/>
      <c r="AB71" s="71"/>
      <c r="AC71" s="71"/>
      <c r="AD71" s="71"/>
      <c r="AE71" s="71"/>
      <c r="AF71" s="71"/>
      <c r="AG71" s="71"/>
      <c r="AH71" s="71"/>
      <c r="AI71" s="71"/>
      <c r="AJ71" s="71"/>
      <c r="AK71" s="71"/>
    </row>
    <row r="72" spans="1:37" s="27" customFormat="1" x14ac:dyDescent="0.2">
      <c r="A72" s="447" t="s">
        <v>690</v>
      </c>
      <c r="B72" s="447"/>
      <c r="C72" s="447"/>
      <c r="D72" s="364"/>
      <c r="E72" s="369"/>
      <c r="F72" s="360"/>
      <c r="G72" s="361"/>
      <c r="L72" s="71"/>
      <c r="M72" s="71"/>
      <c r="N72" s="71"/>
      <c r="O72" s="71"/>
      <c r="P72" s="71"/>
      <c r="Q72" s="71"/>
      <c r="R72" s="71"/>
      <c r="S72" s="71"/>
      <c r="T72" s="347"/>
      <c r="U72" s="348"/>
      <c r="V72" s="71"/>
      <c r="W72" s="71"/>
      <c r="X72" s="71"/>
      <c r="Y72" s="71"/>
      <c r="Z72" s="71"/>
      <c r="AA72" s="71"/>
      <c r="AB72" s="71"/>
      <c r="AC72" s="71"/>
      <c r="AD72" s="71"/>
      <c r="AE72" s="71"/>
      <c r="AF72" s="71"/>
      <c r="AG72" s="71"/>
      <c r="AH72" s="71"/>
      <c r="AI72" s="71"/>
      <c r="AJ72" s="71"/>
      <c r="AK72" s="71"/>
    </row>
    <row r="73" spans="1:37" s="27" customFormat="1" x14ac:dyDescent="0.2">
      <c r="A73" s="447" t="s">
        <v>693</v>
      </c>
      <c r="B73" s="447"/>
      <c r="C73" s="447"/>
      <c r="D73" s="364"/>
      <c r="E73" s="369"/>
      <c r="F73" s="360"/>
      <c r="G73" s="361"/>
      <c r="L73" s="71"/>
      <c r="M73" s="71"/>
      <c r="N73" s="71"/>
      <c r="O73" s="71"/>
      <c r="P73" s="71"/>
      <c r="Q73" s="71"/>
      <c r="R73" s="71"/>
      <c r="S73" s="71"/>
      <c r="T73" s="347"/>
      <c r="U73" s="348"/>
      <c r="V73" s="71"/>
      <c r="W73" s="71"/>
      <c r="X73" s="71"/>
      <c r="Y73" s="71"/>
      <c r="Z73" s="71"/>
      <c r="AA73" s="71"/>
      <c r="AB73" s="71"/>
      <c r="AC73" s="71"/>
      <c r="AD73" s="71"/>
      <c r="AE73" s="71"/>
      <c r="AF73" s="71"/>
      <c r="AG73" s="71"/>
      <c r="AH73" s="71"/>
      <c r="AI73" s="71"/>
      <c r="AJ73" s="71"/>
      <c r="AK73" s="71"/>
    </row>
    <row r="74" spans="1:37" s="27" customFormat="1" ht="23.25" customHeight="1" x14ac:dyDescent="0.2">
      <c r="A74" s="447" t="s">
        <v>692</v>
      </c>
      <c r="B74" s="447"/>
      <c r="C74" s="447"/>
      <c r="D74" s="364"/>
      <c r="E74" s="359"/>
      <c r="F74" s="366"/>
      <c r="G74" s="358"/>
      <c r="L74" s="71"/>
      <c r="M74" s="71"/>
      <c r="N74" s="71"/>
      <c r="O74" s="71"/>
      <c r="P74" s="71"/>
      <c r="Q74" s="71"/>
      <c r="R74" s="71"/>
      <c r="S74" s="71"/>
      <c r="T74" s="347"/>
      <c r="U74" s="348"/>
      <c r="V74" s="71"/>
      <c r="W74" s="71"/>
      <c r="X74" s="71"/>
      <c r="Y74" s="71"/>
      <c r="Z74" s="71"/>
      <c r="AA74" s="71"/>
      <c r="AB74" s="71"/>
      <c r="AC74" s="71"/>
      <c r="AD74" s="71"/>
      <c r="AE74" s="71"/>
      <c r="AF74" s="71"/>
      <c r="AG74" s="71"/>
      <c r="AH74" s="71"/>
      <c r="AI74" s="71"/>
      <c r="AJ74" s="71"/>
      <c r="AK74" s="71"/>
    </row>
    <row r="75" spans="1:37" s="27" customFormat="1" ht="17.25" customHeight="1" x14ac:dyDescent="0.2">
      <c r="A75" s="447" t="s">
        <v>691</v>
      </c>
      <c r="B75" s="447"/>
      <c r="C75" s="447"/>
      <c r="D75" s="364"/>
      <c r="E75" s="359"/>
      <c r="F75" s="366"/>
      <c r="G75" s="358"/>
      <c r="L75" s="71"/>
      <c r="M75" s="71"/>
      <c r="N75" s="71"/>
      <c r="O75" s="71"/>
      <c r="P75" s="71"/>
      <c r="Q75" s="71"/>
      <c r="R75" s="71"/>
      <c r="S75" s="71"/>
      <c r="T75" s="347"/>
      <c r="U75" s="348"/>
      <c r="V75" s="71"/>
      <c r="W75" s="71"/>
      <c r="X75" s="71"/>
      <c r="Y75" s="71"/>
      <c r="Z75" s="71"/>
      <c r="AA75" s="71"/>
      <c r="AB75" s="71"/>
      <c r="AC75" s="71"/>
      <c r="AD75" s="71"/>
      <c r="AE75" s="71"/>
      <c r="AF75" s="71"/>
      <c r="AG75" s="71"/>
      <c r="AH75" s="71"/>
      <c r="AI75" s="71"/>
      <c r="AJ75" s="71"/>
      <c r="AK75" s="71"/>
    </row>
    <row r="76" spans="1:37" s="27" customFormat="1" ht="11.1" customHeight="1" x14ac:dyDescent="0.2">
      <c r="A76" s="14"/>
      <c r="B76" s="14"/>
      <c r="C76" s="14"/>
      <c r="D76" s="364"/>
      <c r="E76" s="359"/>
      <c r="F76" s="366"/>
      <c r="G76" s="358"/>
      <c r="L76" s="71"/>
      <c r="M76" s="71"/>
      <c r="N76" s="71"/>
      <c r="O76" s="71"/>
      <c r="P76" s="71"/>
      <c r="Q76" s="71"/>
      <c r="R76" s="71"/>
      <c r="S76" s="71"/>
      <c r="T76" s="347"/>
      <c r="U76" s="348"/>
      <c r="V76" s="71"/>
      <c r="W76" s="71"/>
      <c r="X76" s="71"/>
      <c r="Y76" s="71"/>
      <c r="Z76" s="71"/>
      <c r="AA76" s="71"/>
      <c r="AB76" s="71"/>
      <c r="AC76" s="71"/>
      <c r="AD76" s="71"/>
      <c r="AE76" s="71"/>
      <c r="AF76" s="71"/>
      <c r="AG76" s="71"/>
      <c r="AH76" s="71"/>
      <c r="AI76" s="71"/>
      <c r="AJ76" s="71"/>
      <c r="AK76" s="71"/>
    </row>
    <row r="77" spans="1:37" s="27" customFormat="1" ht="12" customHeight="1" x14ac:dyDescent="0.2">
      <c r="A77" s="384"/>
      <c r="B77" s="385"/>
      <c r="C77" s="14"/>
      <c r="D77" s="364"/>
      <c r="E77" s="359"/>
      <c r="F77" s="367"/>
      <c r="G77" s="368"/>
      <c r="L77" s="71"/>
      <c r="M77" s="71"/>
      <c r="N77" s="71"/>
      <c r="O77" s="71"/>
      <c r="P77" s="71"/>
      <c r="Q77" s="71"/>
      <c r="R77" s="71"/>
      <c r="S77" s="71"/>
      <c r="T77" s="347"/>
      <c r="U77" s="348"/>
      <c r="V77" s="71"/>
      <c r="W77" s="71"/>
      <c r="X77" s="71"/>
      <c r="Y77" s="71"/>
      <c r="Z77" s="71"/>
      <c r="AA77" s="71"/>
      <c r="AB77" s="71"/>
      <c r="AC77" s="71"/>
      <c r="AD77" s="71"/>
      <c r="AE77" s="71"/>
      <c r="AF77" s="71"/>
      <c r="AG77" s="71"/>
      <c r="AH77" s="71"/>
      <c r="AI77" s="71"/>
      <c r="AJ77" s="71"/>
      <c r="AK77" s="71"/>
    </row>
    <row r="78" spans="1:37" s="27" customFormat="1" ht="39" customHeight="1" x14ac:dyDescent="0.2">
      <c r="A78" s="14"/>
      <c r="B78" s="383"/>
      <c r="C78" s="14"/>
      <c r="D78" s="73"/>
      <c r="E78" s="74"/>
      <c r="F78" s="75"/>
      <c r="G78" s="370"/>
      <c r="L78" s="71"/>
      <c r="M78" s="71"/>
      <c r="N78" s="71"/>
      <c r="O78" s="71"/>
      <c r="P78" s="71"/>
      <c r="Q78" s="71"/>
      <c r="R78" s="71"/>
      <c r="S78" s="71"/>
      <c r="T78" s="347"/>
      <c r="U78" s="348"/>
      <c r="V78" s="71"/>
      <c r="W78" s="71"/>
      <c r="X78" s="71"/>
      <c r="Y78" s="71"/>
      <c r="Z78" s="71"/>
      <c r="AA78" s="71"/>
      <c r="AB78" s="71"/>
      <c r="AC78" s="71"/>
      <c r="AD78" s="71"/>
      <c r="AE78" s="71"/>
      <c r="AF78" s="71"/>
      <c r="AG78" s="71"/>
      <c r="AH78" s="71"/>
      <c r="AI78" s="71"/>
      <c r="AJ78" s="71"/>
      <c r="AK78" s="71"/>
    </row>
    <row r="79" spans="1:37" s="27" customFormat="1" ht="11.1" customHeight="1" x14ac:dyDescent="0.2">
      <c r="A79" s="14"/>
      <c r="B79" s="14"/>
      <c r="C79" s="14"/>
      <c r="D79" s="73"/>
      <c r="E79" s="74"/>
      <c r="F79" s="75"/>
      <c r="G79" s="370"/>
      <c r="T79" s="28"/>
      <c r="U79" s="29"/>
    </row>
    <row r="80" spans="1:37" s="27" customFormat="1" ht="180" customHeight="1" x14ac:dyDescent="0.2">
      <c r="A80" s="14"/>
      <c r="B80" s="383"/>
      <c r="C80" s="14"/>
      <c r="D80" s="73"/>
      <c r="E80" s="74"/>
      <c r="F80" s="75"/>
      <c r="G80" s="370"/>
      <c r="T80" s="28"/>
      <c r="U80" s="29"/>
    </row>
    <row r="81" spans="1:21" s="27" customFormat="1" ht="11.1" customHeight="1" x14ac:dyDescent="0.2">
      <c r="A81" s="14"/>
      <c r="B81" s="14"/>
      <c r="C81" s="14"/>
      <c r="D81" s="73"/>
      <c r="E81" s="74"/>
      <c r="F81" s="75"/>
      <c r="G81" s="370"/>
      <c r="T81" s="28"/>
      <c r="U81" s="29"/>
    </row>
    <row r="82" spans="1:21" s="27" customFormat="1" ht="21.95" customHeight="1" x14ac:dyDescent="0.2">
      <c r="A82" s="386"/>
      <c r="B82" s="387"/>
      <c r="C82" s="15"/>
      <c r="D82" s="71"/>
      <c r="E82" s="71"/>
      <c r="F82" s="76"/>
      <c r="G82" s="71"/>
      <c r="T82" s="28"/>
      <c r="U82" s="29"/>
    </row>
    <row r="83" spans="1:21" s="27" customFormat="1" ht="150" customHeight="1" x14ac:dyDescent="0.2">
      <c r="A83" s="14"/>
      <c r="B83" s="383"/>
      <c r="C83" s="14"/>
      <c r="D83" s="71"/>
      <c r="E83" s="71"/>
      <c r="F83" s="76"/>
      <c r="G83" s="71"/>
      <c r="T83" s="28"/>
      <c r="U83" s="29"/>
    </row>
    <row r="84" spans="1:21" s="27" customFormat="1" ht="11.1" customHeight="1" x14ac:dyDescent="0.2">
      <c r="A84" s="14"/>
      <c r="B84" s="14"/>
      <c r="C84" s="14"/>
      <c r="D84" s="71"/>
      <c r="E84" s="71"/>
      <c r="F84" s="76"/>
      <c r="G84" s="71"/>
      <c r="T84" s="28"/>
      <c r="U84" s="29"/>
    </row>
    <row r="85" spans="1:21" s="27" customFormat="1" ht="24.95" customHeight="1" x14ac:dyDescent="0.2">
      <c r="A85" s="14"/>
      <c r="B85" s="383"/>
      <c r="C85" s="14"/>
      <c r="D85" s="73"/>
      <c r="E85" s="74"/>
      <c r="F85" s="75"/>
      <c r="G85" s="370"/>
      <c r="T85" s="28"/>
      <c r="U85" s="29"/>
    </row>
    <row r="86" spans="1:21" s="27" customFormat="1" ht="11.1" customHeight="1" x14ac:dyDescent="0.2">
      <c r="A86" s="14"/>
      <c r="B86" s="14"/>
      <c r="C86" s="14"/>
      <c r="D86" s="73"/>
      <c r="E86" s="74"/>
      <c r="F86" s="75"/>
      <c r="G86" s="370"/>
      <c r="T86" s="28"/>
      <c r="U86" s="29"/>
    </row>
    <row r="87" spans="1:21" s="27" customFormat="1" ht="135" customHeight="1" x14ac:dyDescent="0.2">
      <c r="A87" s="14"/>
      <c r="B87" s="14"/>
      <c r="C87" s="14"/>
      <c r="D87" s="73"/>
      <c r="E87" s="74"/>
      <c r="F87" s="75"/>
      <c r="G87" s="370"/>
      <c r="T87" s="28"/>
      <c r="U87" s="29"/>
    </row>
    <row r="88" spans="1:21" s="27" customFormat="1" ht="11.1" customHeight="1" x14ac:dyDescent="0.2">
      <c r="A88" s="14"/>
      <c r="B88" s="14"/>
      <c r="C88" s="14"/>
      <c r="D88" s="14"/>
      <c r="E88" s="14"/>
      <c r="F88" s="14"/>
      <c r="G88" s="14"/>
      <c r="T88" s="28"/>
      <c r="U88" s="29"/>
    </row>
    <row r="89" spans="1:21" s="27" customFormat="1" ht="38.1" customHeight="1" x14ac:dyDescent="0.2">
      <c r="A89" s="14"/>
      <c r="B89" s="383"/>
      <c r="C89" s="14"/>
      <c r="D89" s="14"/>
      <c r="E89" s="14"/>
      <c r="F89" s="14"/>
      <c r="G89" s="14"/>
      <c r="T89" s="28"/>
      <c r="U89" s="29"/>
    </row>
    <row r="90" spans="1:21" s="27" customFormat="1" ht="11.1" customHeight="1" x14ac:dyDescent="0.2">
      <c r="A90" s="14"/>
      <c r="B90" s="14"/>
      <c r="C90" s="14"/>
      <c r="D90" s="14"/>
      <c r="E90" s="14"/>
      <c r="F90" s="14"/>
      <c r="G90" s="14"/>
      <c r="T90" s="28"/>
      <c r="U90" s="29"/>
    </row>
    <row r="91" spans="1:21" s="27" customFormat="1" ht="38.1" customHeight="1" x14ac:dyDescent="0.2">
      <c r="A91" s="14"/>
      <c r="B91" s="383"/>
      <c r="C91" s="14"/>
      <c r="D91" s="14"/>
      <c r="E91" s="14"/>
      <c r="F91" s="14"/>
      <c r="G91" s="14"/>
      <c r="T91" s="28"/>
      <c r="U91" s="29"/>
    </row>
    <row r="92" spans="1:21" s="27" customFormat="1" ht="11.1" customHeight="1" x14ac:dyDescent="0.2">
      <c r="A92" s="14"/>
      <c r="B92" s="14"/>
      <c r="C92" s="14"/>
      <c r="D92" s="14"/>
      <c r="E92" s="14"/>
      <c r="F92" s="14"/>
      <c r="G92" s="14"/>
      <c r="T92" s="28"/>
      <c r="U92" s="29"/>
    </row>
    <row r="93" spans="1:21" s="27" customFormat="1" ht="65.099999999999994" customHeight="1" x14ac:dyDescent="0.2">
      <c r="A93" s="14"/>
      <c r="B93" s="383"/>
      <c r="C93" s="14"/>
      <c r="D93" s="14"/>
      <c r="E93" s="14"/>
      <c r="F93" s="14"/>
      <c r="G93" s="14"/>
      <c r="T93" s="28"/>
      <c r="U93" s="29"/>
    </row>
    <row r="94" spans="1:21" s="27" customFormat="1" ht="11.1" customHeight="1" x14ac:dyDescent="0.2">
      <c r="A94" s="14"/>
      <c r="B94" s="14"/>
      <c r="C94" s="14"/>
      <c r="D94" s="77"/>
      <c r="E94" s="77"/>
      <c r="F94" s="77"/>
      <c r="G94" s="77"/>
      <c r="T94" s="28"/>
      <c r="U94" s="29"/>
    </row>
    <row r="95" spans="1:21" s="27" customFormat="1" ht="24.95" customHeight="1" x14ac:dyDescent="0.2">
      <c r="A95" s="14"/>
      <c r="B95" s="383"/>
      <c r="C95" s="14"/>
      <c r="D95" s="14"/>
      <c r="E95" s="14"/>
      <c r="F95" s="14"/>
      <c r="G95" s="14"/>
      <c r="T95" s="28"/>
      <c r="U95" s="29"/>
    </row>
    <row r="96" spans="1:21" s="27" customFormat="1" ht="11.1" customHeight="1" x14ac:dyDescent="0.2">
      <c r="A96" s="14"/>
      <c r="B96" s="14"/>
      <c r="C96" s="14"/>
      <c r="D96" s="14"/>
      <c r="E96" s="14"/>
      <c r="F96" s="14"/>
      <c r="G96" s="77"/>
      <c r="T96" s="28"/>
      <c r="U96" s="29"/>
    </row>
    <row r="97" spans="1:21" s="27" customFormat="1" ht="38.1" customHeight="1" x14ac:dyDescent="0.2">
      <c r="A97" s="14"/>
      <c r="B97" s="385"/>
      <c r="C97" s="16"/>
      <c r="D97" s="73"/>
      <c r="E97" s="74"/>
      <c r="F97" s="75"/>
      <c r="G97" s="370"/>
      <c r="T97" s="28"/>
      <c r="U97" s="29"/>
    </row>
    <row r="98" spans="1:21" s="27" customFormat="1" ht="11.1" customHeight="1" x14ac:dyDescent="0.2">
      <c r="A98" s="14"/>
      <c r="B98" s="14"/>
      <c r="C98" s="14"/>
      <c r="D98" s="73"/>
      <c r="E98" s="74"/>
      <c r="F98" s="75"/>
      <c r="G98" s="370"/>
      <c r="J98" s="64"/>
      <c r="L98" s="64"/>
      <c r="T98" s="28"/>
      <c r="U98" s="29"/>
    </row>
    <row r="99" spans="1:21" s="27" customFormat="1" ht="12" customHeight="1" x14ac:dyDescent="0.2">
      <c r="A99" s="384"/>
      <c r="B99" s="385"/>
      <c r="C99" s="14"/>
      <c r="D99" s="73"/>
      <c r="E99" s="74"/>
      <c r="F99" s="75"/>
      <c r="G99" s="370"/>
      <c r="T99" s="28"/>
      <c r="U99" s="29"/>
    </row>
    <row r="100" spans="1:21" s="27" customFormat="1" ht="21.95" customHeight="1" x14ac:dyDescent="0.2">
      <c r="A100" s="386"/>
      <c r="B100" s="387"/>
      <c r="C100" s="15"/>
      <c r="D100" s="73"/>
      <c r="E100" s="74"/>
      <c r="F100" s="75"/>
      <c r="G100" s="370"/>
      <c r="T100" s="28"/>
      <c r="U100" s="29"/>
    </row>
    <row r="101" spans="1:21" s="27" customFormat="1" ht="38.1" customHeight="1" x14ac:dyDescent="0.2">
      <c r="A101" s="14"/>
      <c r="B101" s="383"/>
      <c r="C101" s="14"/>
      <c r="D101" s="73"/>
      <c r="E101" s="74"/>
      <c r="F101" s="75"/>
      <c r="G101" s="370"/>
      <c r="T101" s="28"/>
      <c r="U101" s="29"/>
    </row>
    <row r="102" spans="1:21" s="27" customFormat="1" ht="11.1" customHeight="1" x14ac:dyDescent="0.2">
      <c r="A102" s="14"/>
      <c r="B102" s="14"/>
      <c r="C102" s="14"/>
      <c r="D102" s="371"/>
      <c r="E102" s="78"/>
      <c r="F102" s="372"/>
      <c r="G102" s="358"/>
      <c r="T102" s="28"/>
      <c r="U102" s="29"/>
    </row>
    <row r="103" spans="1:21" s="27" customFormat="1" ht="48.95" customHeight="1" x14ac:dyDescent="0.2">
      <c r="A103" s="14"/>
      <c r="B103" s="383"/>
      <c r="C103" s="14"/>
      <c r="D103" s="373"/>
      <c r="E103" s="78"/>
      <c r="F103" s="372"/>
      <c r="G103" s="358"/>
      <c r="T103" s="28"/>
      <c r="U103" s="29"/>
    </row>
    <row r="104" spans="1:21" s="27" customFormat="1" ht="11.1" customHeight="1" x14ac:dyDescent="0.2">
      <c r="A104" s="14"/>
      <c r="B104" s="14"/>
      <c r="C104" s="14"/>
      <c r="D104" s="374"/>
      <c r="E104" s="78"/>
      <c r="F104" s="372"/>
      <c r="G104" s="358"/>
      <c r="T104" s="28"/>
      <c r="U104" s="29"/>
    </row>
    <row r="105" spans="1:21" s="27" customFormat="1" ht="12" customHeight="1" x14ac:dyDescent="0.2">
      <c r="A105" s="388"/>
      <c r="B105" s="385"/>
      <c r="C105" s="14"/>
      <c r="D105" s="375"/>
      <c r="E105" s="78"/>
      <c r="F105" s="372"/>
      <c r="G105" s="358"/>
      <c r="T105" s="28"/>
      <c r="U105" s="29"/>
    </row>
    <row r="106" spans="1:21" s="27" customFormat="1" ht="35.1" customHeight="1" x14ac:dyDescent="0.2">
      <c r="A106" s="14"/>
      <c r="B106" s="14"/>
      <c r="C106" s="14"/>
      <c r="D106" s="14"/>
      <c r="E106" s="14"/>
      <c r="F106" s="14"/>
      <c r="G106" s="376"/>
      <c r="T106" s="28"/>
      <c r="U106" s="29"/>
    </row>
    <row r="107" spans="1:21" s="27" customFormat="1" ht="11.1" customHeight="1" x14ac:dyDescent="0.2">
      <c r="A107" s="14"/>
      <c r="B107" s="14"/>
      <c r="C107" s="14"/>
      <c r="D107" s="80"/>
      <c r="E107" s="80"/>
      <c r="F107" s="81"/>
      <c r="G107" s="79"/>
      <c r="T107" s="28"/>
      <c r="U107" s="29"/>
    </row>
    <row r="108" spans="1:21" s="27" customFormat="1" ht="38.1" customHeight="1" x14ac:dyDescent="0.2">
      <c r="A108" s="14"/>
      <c r="B108" s="383"/>
      <c r="C108" s="14"/>
      <c r="D108" s="80"/>
      <c r="E108" s="80"/>
      <c r="F108" s="81"/>
      <c r="G108" s="82"/>
      <c r="J108" s="83"/>
      <c r="T108" s="28"/>
      <c r="U108" s="29"/>
    </row>
    <row r="109" spans="1:21" s="27" customFormat="1" ht="11.1" customHeight="1" x14ac:dyDescent="0.2">
      <c r="A109" s="14"/>
      <c r="B109" s="14"/>
      <c r="C109" s="14"/>
      <c r="D109" s="14"/>
      <c r="E109" s="14"/>
      <c r="F109" s="14"/>
      <c r="G109" s="14"/>
      <c r="T109" s="28"/>
      <c r="U109" s="29"/>
    </row>
    <row r="110" spans="1:21" s="27" customFormat="1" ht="12" customHeight="1" x14ac:dyDescent="0.2">
      <c r="A110" s="388"/>
      <c r="B110" s="385"/>
      <c r="C110" s="14"/>
      <c r="D110" s="71"/>
      <c r="F110" s="84"/>
      <c r="T110" s="28"/>
      <c r="U110" s="29"/>
    </row>
    <row r="111" spans="1:21" s="27" customFormat="1" ht="51" customHeight="1" x14ac:dyDescent="0.2">
      <c r="A111" s="14"/>
      <c r="B111" s="383"/>
      <c r="C111" s="14"/>
      <c r="D111" s="71"/>
      <c r="F111" s="84"/>
      <c r="T111" s="28"/>
      <c r="U111" s="29"/>
    </row>
    <row r="112" spans="1:21" s="27" customFormat="1" ht="11.1" customHeight="1" x14ac:dyDescent="0.2">
      <c r="A112" s="14"/>
      <c r="B112" s="14"/>
      <c r="C112" s="14"/>
      <c r="D112" s="71"/>
      <c r="F112" s="84"/>
      <c r="T112" s="28"/>
      <c r="U112" s="29"/>
    </row>
    <row r="113" spans="1:21" s="27" customFormat="1" ht="12" customHeight="1" x14ac:dyDescent="0.2">
      <c r="A113" s="388"/>
      <c r="B113" s="385"/>
      <c r="C113" s="14"/>
      <c r="D113" s="71"/>
      <c r="F113" s="84"/>
      <c r="T113" s="28"/>
      <c r="U113" s="29"/>
    </row>
    <row r="114" spans="1:21" s="27" customFormat="1" ht="23.1" customHeight="1" x14ac:dyDescent="0.2">
      <c r="A114" s="14"/>
      <c r="B114" s="14"/>
      <c r="C114" s="14"/>
      <c r="D114" s="71"/>
      <c r="F114" s="84"/>
      <c r="T114" s="28"/>
      <c r="U114" s="29"/>
    </row>
    <row r="115" spans="1:21" s="27" customFormat="1" ht="11.1" customHeight="1" x14ac:dyDescent="0.2">
      <c r="A115" s="14"/>
      <c r="B115" s="14"/>
      <c r="C115" s="14"/>
      <c r="D115" s="71"/>
      <c r="F115" s="84"/>
      <c r="T115" s="28"/>
      <c r="U115" s="29"/>
    </row>
    <row r="116" spans="1:21" s="27" customFormat="1" ht="12" customHeight="1" x14ac:dyDescent="0.2">
      <c r="A116" s="388"/>
      <c r="B116" s="385"/>
      <c r="C116" s="14"/>
      <c r="D116" s="71"/>
      <c r="F116" s="84"/>
      <c r="T116" s="28"/>
      <c r="U116" s="29"/>
    </row>
    <row r="117" spans="1:21" s="27" customFormat="1" ht="63" customHeight="1" x14ac:dyDescent="0.2">
      <c r="A117" s="14"/>
      <c r="B117" s="383"/>
      <c r="C117" s="14"/>
      <c r="D117" s="71"/>
      <c r="F117" s="84"/>
      <c r="T117" s="28"/>
      <c r="U117" s="29"/>
    </row>
    <row r="118" spans="1:21" s="27" customFormat="1" ht="11.1" customHeight="1" x14ac:dyDescent="0.2">
      <c r="A118" s="14"/>
      <c r="B118" s="14"/>
      <c r="C118" s="14"/>
      <c r="D118" s="71"/>
      <c r="F118" s="84"/>
      <c r="T118" s="28"/>
      <c r="U118" s="29"/>
    </row>
    <row r="119" spans="1:21" s="27" customFormat="1" ht="12" customHeight="1" x14ac:dyDescent="0.2">
      <c r="A119" s="388"/>
      <c r="B119" s="385"/>
      <c r="C119" s="14"/>
      <c r="D119" s="71"/>
      <c r="F119" s="84"/>
      <c r="T119" s="28"/>
      <c r="U119" s="29"/>
    </row>
    <row r="120" spans="1:21" s="27" customFormat="1" ht="38.1" customHeight="1" x14ac:dyDescent="0.2">
      <c r="A120" s="14"/>
      <c r="B120" s="14"/>
      <c r="C120" s="14"/>
      <c r="D120" s="71"/>
      <c r="F120" s="84"/>
      <c r="T120" s="28"/>
      <c r="U120" s="29"/>
    </row>
    <row r="121" spans="1:21" s="27" customFormat="1" ht="11.1" customHeight="1" x14ac:dyDescent="0.2">
      <c r="A121" s="14"/>
      <c r="B121" s="14"/>
      <c r="C121" s="14"/>
      <c r="D121" s="71"/>
      <c r="F121" s="84"/>
      <c r="T121" s="28"/>
      <c r="U121" s="29"/>
    </row>
    <row r="122" spans="1:21" s="27" customFormat="1" ht="12" customHeight="1" x14ac:dyDescent="0.2">
      <c r="A122" s="14"/>
      <c r="B122" s="18"/>
      <c r="C122" s="14"/>
      <c r="D122" s="71"/>
      <c r="F122" s="84"/>
      <c r="T122" s="28"/>
      <c r="U122" s="29"/>
    </row>
    <row r="123" spans="1:21" s="27" customFormat="1" ht="63.95" customHeight="1" x14ac:dyDescent="0.2">
      <c r="A123" s="14"/>
      <c r="B123" s="14"/>
      <c r="C123" s="14"/>
      <c r="D123" s="71"/>
      <c r="F123" s="84"/>
      <c r="T123" s="28"/>
      <c r="U123" s="29"/>
    </row>
    <row r="124" spans="1:21" s="27" customFormat="1" ht="12" customHeight="1" x14ac:dyDescent="0.2">
      <c r="A124" s="384"/>
      <c r="B124" s="18"/>
      <c r="C124" s="14"/>
      <c r="D124" s="71"/>
      <c r="F124" s="84"/>
      <c r="T124" s="28"/>
      <c r="U124" s="29"/>
    </row>
    <row r="125" spans="1:21" s="27" customFormat="1" ht="11.1" customHeight="1" x14ac:dyDescent="0.2">
      <c r="A125" s="384"/>
      <c r="B125" s="385"/>
      <c r="C125" s="14"/>
      <c r="D125" s="71"/>
      <c r="F125" s="84"/>
      <c r="T125" s="28"/>
      <c r="U125" s="29"/>
    </row>
    <row r="126" spans="1:21" s="27" customFormat="1" ht="38.1" customHeight="1" x14ac:dyDescent="0.2">
      <c r="A126" s="14"/>
      <c r="B126" s="383"/>
      <c r="C126" s="14"/>
      <c r="D126" s="71"/>
      <c r="F126" s="84"/>
      <c r="T126" s="28"/>
      <c r="U126" s="29"/>
    </row>
    <row r="127" spans="1:21" s="27" customFormat="1" ht="11.1" customHeight="1" x14ac:dyDescent="0.2">
      <c r="A127" s="14"/>
      <c r="B127" s="14"/>
      <c r="C127" s="14"/>
      <c r="D127" s="71"/>
      <c r="F127" s="84"/>
      <c r="T127" s="28"/>
      <c r="U127" s="29"/>
    </row>
    <row r="128" spans="1:21" s="27" customFormat="1" ht="21.95" customHeight="1" x14ac:dyDescent="0.2">
      <c r="A128" s="386"/>
      <c r="B128" s="387"/>
      <c r="C128" s="15"/>
      <c r="D128" s="71"/>
      <c r="F128" s="84"/>
      <c r="T128" s="28"/>
      <c r="U128" s="29"/>
    </row>
    <row r="129" spans="1:21" s="27" customFormat="1" ht="12" customHeight="1" x14ac:dyDescent="0.2">
      <c r="A129" s="14"/>
      <c r="B129" s="383"/>
      <c r="C129" s="17"/>
      <c r="D129" s="71"/>
      <c r="F129" s="84"/>
      <c r="T129" s="28"/>
      <c r="U129" s="29"/>
    </row>
    <row r="130" spans="1:21" s="27" customFormat="1" ht="11.1" customHeight="1" x14ac:dyDescent="0.2">
      <c r="A130" s="14"/>
      <c r="B130" s="14"/>
      <c r="C130" s="14"/>
      <c r="D130" s="71"/>
      <c r="F130" s="84"/>
      <c r="T130" s="28"/>
      <c r="U130" s="29"/>
    </row>
    <row r="131" spans="1:21" s="27" customFormat="1" ht="12" customHeight="1" x14ac:dyDescent="0.2">
      <c r="A131" s="14"/>
      <c r="B131" s="18"/>
      <c r="C131" s="14"/>
      <c r="D131" s="71"/>
      <c r="F131" s="84"/>
      <c r="T131" s="28"/>
      <c r="U131" s="29"/>
    </row>
    <row r="132" spans="1:21" s="27" customFormat="1" ht="11.1" customHeight="1" x14ac:dyDescent="0.2">
      <c r="A132" s="14"/>
      <c r="B132" s="14"/>
      <c r="C132" s="14"/>
      <c r="D132" s="71"/>
      <c r="F132" s="84"/>
      <c r="T132" s="28"/>
      <c r="U132" s="29"/>
    </row>
    <row r="133" spans="1:21" s="27" customFormat="1" ht="12" customHeight="1" x14ac:dyDescent="0.2">
      <c r="A133" s="384"/>
      <c r="B133" s="18"/>
      <c r="C133" s="14"/>
      <c r="D133" s="71"/>
      <c r="F133" s="84"/>
      <c r="T133" s="28"/>
      <c r="U133" s="29"/>
    </row>
    <row r="134" spans="1:21" s="27" customFormat="1" ht="24.95" customHeight="1" x14ac:dyDescent="0.2">
      <c r="A134" s="14"/>
      <c r="B134" s="383"/>
      <c r="C134" s="14"/>
      <c r="D134" s="71"/>
      <c r="F134" s="84"/>
      <c r="T134" s="28"/>
      <c r="U134" s="29"/>
    </row>
    <row r="135" spans="1:21" s="27" customFormat="1" ht="11.1" customHeight="1" x14ac:dyDescent="0.2">
      <c r="A135" s="14"/>
      <c r="B135" s="14"/>
      <c r="C135" s="14"/>
      <c r="D135" s="71"/>
      <c r="F135" s="84"/>
      <c r="T135" s="28"/>
      <c r="U135" s="29"/>
    </row>
    <row r="136" spans="1:21" s="27" customFormat="1" ht="12" customHeight="1" x14ac:dyDescent="0.2">
      <c r="A136" s="14"/>
      <c r="B136" s="383"/>
      <c r="C136" s="14"/>
      <c r="D136" s="71"/>
      <c r="F136" s="84"/>
      <c r="T136" s="28"/>
      <c r="U136" s="29"/>
    </row>
    <row r="137" spans="1:21" s="27" customFormat="1" ht="11.1" customHeight="1" x14ac:dyDescent="0.2">
      <c r="A137" s="14"/>
      <c r="B137" s="14"/>
      <c r="C137" s="14"/>
      <c r="D137" s="71"/>
      <c r="F137" s="84"/>
      <c r="T137" s="28"/>
      <c r="U137" s="29"/>
    </row>
    <row r="138" spans="1:21" s="27" customFormat="1" ht="12" customHeight="1" x14ac:dyDescent="0.2">
      <c r="A138" s="14"/>
      <c r="B138" s="18"/>
      <c r="C138" s="14"/>
      <c r="D138" s="71"/>
      <c r="F138" s="84"/>
      <c r="T138" s="28"/>
      <c r="U138" s="29"/>
    </row>
    <row r="139" spans="1:21" s="27" customFormat="1" ht="11.1" customHeight="1" x14ac:dyDescent="0.2">
      <c r="A139" s="14"/>
      <c r="B139" s="14"/>
      <c r="C139" s="14"/>
      <c r="D139" s="71"/>
      <c r="F139" s="84"/>
      <c r="T139" s="28"/>
      <c r="U139" s="29"/>
    </row>
    <row r="140" spans="1:21" s="27" customFormat="1" ht="12" customHeight="1" x14ac:dyDescent="0.2">
      <c r="A140" s="384"/>
      <c r="B140" s="18"/>
      <c r="C140" s="14"/>
      <c r="D140" s="71"/>
      <c r="F140" s="84"/>
      <c r="T140" s="28"/>
      <c r="U140" s="29"/>
    </row>
    <row r="141" spans="1:21" s="27" customFormat="1" ht="12" customHeight="1" x14ac:dyDescent="0.2">
      <c r="A141" s="389"/>
      <c r="B141" s="385"/>
      <c r="C141" s="14"/>
      <c r="D141" s="71"/>
      <c r="F141" s="84"/>
      <c r="T141" s="28"/>
      <c r="U141" s="29"/>
    </row>
    <row r="142" spans="1:21" s="27" customFormat="1" ht="63" customHeight="1" x14ac:dyDescent="0.2">
      <c r="A142" s="14"/>
      <c r="B142" s="383"/>
      <c r="C142" s="14"/>
      <c r="D142" s="71"/>
      <c r="F142" s="84"/>
      <c r="T142" s="28"/>
      <c r="U142" s="29"/>
    </row>
    <row r="143" spans="1:21" s="27" customFormat="1" ht="11.1" customHeight="1" x14ac:dyDescent="0.2">
      <c r="A143" s="14"/>
      <c r="B143" s="14"/>
      <c r="C143" s="14"/>
      <c r="D143" s="71"/>
      <c r="F143" s="84"/>
      <c r="T143" s="28"/>
      <c r="U143" s="29"/>
    </row>
    <row r="144" spans="1:21" s="27" customFormat="1" ht="24.95" customHeight="1" x14ac:dyDescent="0.2">
      <c r="A144" s="14"/>
      <c r="B144" s="383"/>
      <c r="C144" s="14"/>
      <c r="D144" s="71"/>
      <c r="F144" s="84"/>
      <c r="T144" s="28"/>
      <c r="U144" s="29"/>
    </row>
    <row r="145" spans="1:21" s="27" customFormat="1" ht="11.1" customHeight="1" x14ac:dyDescent="0.2">
      <c r="A145" s="14"/>
      <c r="B145" s="14"/>
      <c r="C145" s="14"/>
      <c r="D145" s="71"/>
      <c r="F145" s="84"/>
      <c r="T145" s="28"/>
      <c r="U145" s="29"/>
    </row>
    <row r="146" spans="1:21" s="27" customFormat="1" ht="12" customHeight="1" x14ac:dyDescent="0.2">
      <c r="A146" s="14"/>
      <c r="B146" s="383"/>
      <c r="C146" s="14"/>
      <c r="D146" s="71"/>
      <c r="F146" s="84"/>
      <c r="T146" s="28"/>
      <c r="U146" s="29"/>
    </row>
    <row r="147" spans="1:21" s="27" customFormat="1" ht="11.1" customHeight="1" x14ac:dyDescent="0.2">
      <c r="A147" s="14"/>
      <c r="B147" s="14"/>
      <c r="C147" s="14"/>
      <c r="D147" s="71"/>
      <c r="F147" s="84"/>
      <c r="T147" s="28"/>
      <c r="U147" s="29"/>
    </row>
    <row r="148" spans="1:21" s="27" customFormat="1" ht="11.1" customHeight="1" x14ac:dyDescent="0.2">
      <c r="A148" s="14"/>
      <c r="B148" s="14"/>
      <c r="C148" s="14"/>
      <c r="D148" s="71"/>
      <c r="F148" s="84"/>
      <c r="T148" s="28"/>
      <c r="U148" s="29"/>
    </row>
    <row r="149" spans="1:21" s="27" customFormat="1" ht="12" customHeight="1" x14ac:dyDescent="0.2">
      <c r="A149" s="389"/>
      <c r="B149" s="385"/>
      <c r="C149" s="14"/>
      <c r="D149" s="71"/>
      <c r="F149" s="84"/>
      <c r="T149" s="28"/>
      <c r="U149" s="29"/>
    </row>
    <row r="150" spans="1:21" s="27" customFormat="1" ht="63" customHeight="1" x14ac:dyDescent="0.2">
      <c r="A150" s="14"/>
      <c r="B150" s="383"/>
      <c r="C150" s="14"/>
      <c r="D150" s="71"/>
      <c r="F150" s="84"/>
      <c r="T150" s="28"/>
      <c r="U150" s="29"/>
    </row>
    <row r="151" spans="1:21" s="27" customFormat="1" ht="11.1" customHeight="1" x14ac:dyDescent="0.2">
      <c r="A151" s="14"/>
      <c r="B151" s="14"/>
      <c r="C151" s="14"/>
      <c r="D151" s="71"/>
      <c r="F151" s="84"/>
      <c r="T151" s="28"/>
      <c r="U151" s="29"/>
    </row>
    <row r="152" spans="1:21" s="27" customFormat="1" ht="38.1" customHeight="1" x14ac:dyDescent="0.2">
      <c r="A152" s="14"/>
      <c r="B152" s="383"/>
      <c r="C152" s="14"/>
      <c r="D152" s="71"/>
      <c r="F152" s="84"/>
      <c r="T152" s="28"/>
      <c r="U152" s="29"/>
    </row>
    <row r="153" spans="1:21" s="27" customFormat="1" ht="11.1" customHeight="1" x14ac:dyDescent="0.2">
      <c r="A153" s="14"/>
      <c r="B153" s="14"/>
      <c r="C153" s="14"/>
      <c r="D153" s="71"/>
      <c r="F153" s="84"/>
      <c r="T153" s="28"/>
      <c r="U153" s="29"/>
    </row>
    <row r="154" spans="1:21" s="27" customFormat="1" ht="24.95" customHeight="1" x14ac:dyDescent="0.2">
      <c r="A154" s="14"/>
      <c r="B154" s="383"/>
      <c r="C154" s="14"/>
      <c r="D154" s="71"/>
      <c r="F154" s="84"/>
      <c r="T154" s="28"/>
      <c r="U154" s="29"/>
    </row>
    <row r="155" spans="1:21" s="27" customFormat="1" ht="11.1" customHeight="1" x14ac:dyDescent="0.2">
      <c r="A155" s="14"/>
      <c r="B155" s="14"/>
      <c r="C155" s="14"/>
      <c r="D155" s="71"/>
      <c r="F155" s="84"/>
      <c r="T155" s="28"/>
      <c r="U155" s="29"/>
    </row>
    <row r="156" spans="1:21" s="27" customFormat="1" ht="38.1" customHeight="1" x14ac:dyDescent="0.2">
      <c r="A156" s="14"/>
      <c r="B156" s="383"/>
      <c r="C156" s="14"/>
      <c r="D156" s="71"/>
      <c r="F156" s="84"/>
      <c r="T156" s="28"/>
      <c r="U156" s="29"/>
    </row>
    <row r="157" spans="1:21" s="27" customFormat="1" ht="11.1" customHeight="1" x14ac:dyDescent="0.2">
      <c r="A157" s="14"/>
      <c r="B157" s="14"/>
      <c r="C157" s="14"/>
      <c r="D157" s="71"/>
      <c r="F157" s="84"/>
      <c r="T157" s="28"/>
      <c r="U157" s="29"/>
    </row>
    <row r="158" spans="1:21" s="27" customFormat="1" ht="38.1" customHeight="1" x14ac:dyDescent="0.2">
      <c r="A158" s="14"/>
      <c r="B158" s="383"/>
      <c r="C158" s="14"/>
      <c r="D158" s="71"/>
      <c r="F158" s="84"/>
      <c r="T158" s="28"/>
      <c r="U158" s="29"/>
    </row>
    <row r="159" spans="1:21" s="27" customFormat="1" ht="11.1" customHeight="1" x14ac:dyDescent="0.2">
      <c r="A159" s="14"/>
      <c r="B159" s="14"/>
      <c r="C159" s="14"/>
      <c r="D159" s="71"/>
      <c r="F159" s="84"/>
      <c r="T159" s="28"/>
      <c r="U159" s="29"/>
    </row>
    <row r="160" spans="1:21" s="27" customFormat="1" ht="21.95" customHeight="1" x14ac:dyDescent="0.2">
      <c r="A160" s="386"/>
      <c r="B160" s="387"/>
      <c r="C160" s="15"/>
      <c r="D160" s="71"/>
      <c r="F160" s="84"/>
      <c r="T160" s="28"/>
      <c r="U160" s="29"/>
    </row>
    <row r="161" spans="1:21" s="27" customFormat="1" ht="75.95" customHeight="1" x14ac:dyDescent="0.2">
      <c r="A161" s="14"/>
      <c r="B161" s="383"/>
      <c r="C161" s="14"/>
      <c r="D161" s="71"/>
      <c r="F161" s="84"/>
      <c r="T161" s="28"/>
      <c r="U161" s="29"/>
    </row>
    <row r="162" spans="1:21" s="27" customFormat="1" ht="11.1" customHeight="1" x14ac:dyDescent="0.2">
      <c r="A162" s="14"/>
      <c r="B162" s="14"/>
      <c r="C162" s="14"/>
      <c r="D162" s="71"/>
      <c r="F162" s="84"/>
      <c r="T162" s="28"/>
      <c r="U162" s="29"/>
    </row>
    <row r="163" spans="1:21" s="27" customFormat="1" ht="12" customHeight="1" x14ac:dyDescent="0.2">
      <c r="A163" s="14"/>
      <c r="B163" s="18"/>
      <c r="C163" s="14"/>
      <c r="D163" s="71"/>
      <c r="F163" s="84"/>
      <c r="T163" s="28"/>
      <c r="U163" s="29"/>
    </row>
    <row r="164" spans="1:21" s="27" customFormat="1" ht="11.1" customHeight="1" x14ac:dyDescent="0.2">
      <c r="A164" s="14"/>
      <c r="B164" s="14"/>
      <c r="C164" s="14"/>
      <c r="D164" s="71"/>
      <c r="F164" s="84"/>
      <c r="T164" s="28"/>
      <c r="U164" s="29"/>
    </row>
    <row r="165" spans="1:21" s="27" customFormat="1" ht="12" customHeight="1" x14ac:dyDescent="0.2">
      <c r="A165" s="389"/>
      <c r="B165" s="385"/>
      <c r="C165" s="14"/>
      <c r="D165" s="71"/>
      <c r="F165" s="84"/>
      <c r="T165" s="28"/>
      <c r="U165" s="29"/>
    </row>
    <row r="166" spans="1:21" s="27" customFormat="1" ht="75" customHeight="1" x14ac:dyDescent="0.2">
      <c r="A166" s="14"/>
      <c r="B166" s="383"/>
      <c r="C166" s="14"/>
      <c r="D166" s="71"/>
      <c r="F166" s="84"/>
      <c r="T166" s="28"/>
      <c r="U166" s="29"/>
    </row>
    <row r="167" spans="1:21" s="27" customFormat="1" ht="11.1" customHeight="1" x14ac:dyDescent="0.2">
      <c r="A167" s="14"/>
      <c r="B167" s="14"/>
      <c r="C167" s="14"/>
      <c r="D167" s="71"/>
      <c r="F167" s="84"/>
      <c r="T167" s="28"/>
      <c r="U167" s="29"/>
    </row>
    <row r="168" spans="1:21" s="27" customFormat="1" ht="24.95" customHeight="1" x14ac:dyDescent="0.2">
      <c r="A168" s="14"/>
      <c r="B168" s="383"/>
      <c r="C168" s="14"/>
      <c r="D168" s="71"/>
      <c r="F168" s="84"/>
      <c r="T168" s="28"/>
      <c r="U168" s="29"/>
    </row>
    <row r="169" spans="1:21" s="27" customFormat="1" ht="11.1" customHeight="1" x14ac:dyDescent="0.2">
      <c r="A169" s="14"/>
      <c r="B169" s="14"/>
      <c r="C169" s="14"/>
      <c r="D169" s="71"/>
      <c r="F169" s="84"/>
      <c r="T169" s="28"/>
      <c r="U169" s="29"/>
    </row>
    <row r="170" spans="1:21" s="27" customFormat="1" ht="24.95" customHeight="1" x14ac:dyDescent="0.2">
      <c r="A170" s="14"/>
      <c r="B170" s="383"/>
      <c r="C170" s="14"/>
      <c r="D170" s="71"/>
      <c r="F170" s="84"/>
      <c r="T170" s="28"/>
      <c r="U170" s="29"/>
    </row>
    <row r="171" spans="1:21" s="27" customFormat="1" ht="11.1" customHeight="1" x14ac:dyDescent="0.2">
      <c r="A171" s="14"/>
      <c r="B171" s="14"/>
      <c r="C171" s="14"/>
      <c r="D171" s="71"/>
      <c r="F171" s="84"/>
      <c r="T171" s="28"/>
      <c r="U171" s="29"/>
    </row>
    <row r="172" spans="1:21" s="27" customFormat="1" ht="12" customHeight="1" x14ac:dyDescent="0.2">
      <c r="A172" s="384"/>
      <c r="B172" s="385"/>
      <c r="C172" s="14"/>
      <c r="D172" s="71"/>
      <c r="F172" s="84"/>
      <c r="T172" s="28"/>
      <c r="U172" s="29"/>
    </row>
    <row r="173" spans="1:21" s="27" customFormat="1" ht="51" customHeight="1" x14ac:dyDescent="0.2">
      <c r="A173" s="14"/>
      <c r="B173" s="383"/>
      <c r="C173" s="14"/>
      <c r="D173" s="71"/>
      <c r="F173" s="84"/>
      <c r="T173" s="28"/>
      <c r="U173" s="29"/>
    </row>
    <row r="174" spans="1:21" s="27" customFormat="1" ht="11.1" customHeight="1" x14ac:dyDescent="0.2">
      <c r="A174" s="14"/>
      <c r="B174" s="14"/>
      <c r="C174" s="14"/>
      <c r="D174" s="71"/>
      <c r="F174" s="84"/>
      <c r="T174" s="28"/>
      <c r="U174" s="29"/>
    </row>
    <row r="175" spans="1:21" s="27" customFormat="1" ht="63" customHeight="1" x14ac:dyDescent="0.2">
      <c r="A175" s="14"/>
      <c r="B175" s="383"/>
      <c r="C175" s="14"/>
      <c r="D175" s="71"/>
      <c r="F175" s="84"/>
      <c r="T175" s="28"/>
      <c r="U175" s="29"/>
    </row>
    <row r="176" spans="1:21" s="27" customFormat="1" ht="11.1" customHeight="1" x14ac:dyDescent="0.2">
      <c r="A176" s="14"/>
      <c r="B176" s="14"/>
      <c r="C176" s="14"/>
      <c r="D176" s="71"/>
      <c r="F176" s="84"/>
      <c r="T176" s="28"/>
      <c r="U176" s="29"/>
    </row>
    <row r="177" spans="1:21" s="27" customFormat="1" ht="12" customHeight="1" x14ac:dyDescent="0.2">
      <c r="A177" s="389"/>
      <c r="B177" s="385"/>
      <c r="C177" s="14"/>
      <c r="D177" s="71"/>
      <c r="F177" s="84"/>
      <c r="T177" s="28"/>
      <c r="U177" s="29"/>
    </row>
    <row r="178" spans="1:21" s="27" customFormat="1" ht="51" customHeight="1" x14ac:dyDescent="0.2">
      <c r="A178" s="14"/>
      <c r="B178" s="383"/>
      <c r="C178" s="14"/>
      <c r="D178" s="71"/>
      <c r="F178" s="84"/>
      <c r="T178" s="28"/>
      <c r="U178" s="29"/>
    </row>
    <row r="179" spans="1:21" s="27" customFormat="1" ht="11.1" customHeight="1" x14ac:dyDescent="0.2">
      <c r="A179" s="14"/>
      <c r="B179" s="14"/>
      <c r="C179" s="14"/>
      <c r="D179" s="71"/>
      <c r="F179" s="84"/>
      <c r="T179" s="28"/>
      <c r="U179" s="29"/>
    </row>
    <row r="180" spans="1:21" s="27" customFormat="1" ht="38.1" customHeight="1" x14ac:dyDescent="0.2">
      <c r="A180" s="14"/>
      <c r="B180" s="383"/>
      <c r="C180" s="14"/>
      <c r="D180" s="71"/>
      <c r="F180" s="84"/>
      <c r="T180" s="28"/>
      <c r="U180" s="29"/>
    </row>
    <row r="181" spans="1:21" s="27" customFormat="1" ht="11.1" customHeight="1" x14ac:dyDescent="0.2">
      <c r="A181" s="14"/>
      <c r="B181" s="14"/>
      <c r="C181" s="14"/>
      <c r="D181" s="71"/>
      <c r="F181" s="84"/>
      <c r="T181" s="28"/>
      <c r="U181" s="29"/>
    </row>
    <row r="182" spans="1:21" s="27" customFormat="1" ht="11.1" customHeight="1" x14ac:dyDescent="0.2">
      <c r="A182" s="14"/>
      <c r="B182" s="14"/>
      <c r="C182" s="14"/>
      <c r="D182" s="71"/>
      <c r="F182" s="84"/>
      <c r="T182" s="28"/>
      <c r="U182" s="29"/>
    </row>
    <row r="183" spans="1:21" s="27" customFormat="1" ht="21.95" customHeight="1" x14ac:dyDescent="0.2">
      <c r="A183" s="386"/>
      <c r="B183" s="387"/>
      <c r="C183" s="15"/>
      <c r="D183" s="71"/>
      <c r="F183" s="84"/>
      <c r="T183" s="28"/>
      <c r="U183" s="29"/>
    </row>
    <row r="184" spans="1:21" s="27" customFormat="1" ht="12" customHeight="1" x14ac:dyDescent="0.2">
      <c r="A184" s="389"/>
      <c r="B184" s="385"/>
      <c r="C184" s="14"/>
      <c r="D184" s="71"/>
      <c r="F184" s="84"/>
      <c r="T184" s="28"/>
      <c r="U184" s="29"/>
    </row>
    <row r="185" spans="1:21" s="27" customFormat="1" ht="89.1" customHeight="1" x14ac:dyDescent="0.2">
      <c r="A185" s="14"/>
      <c r="B185" s="383"/>
      <c r="C185" s="14"/>
      <c r="D185" s="71"/>
      <c r="F185" s="84"/>
      <c r="T185" s="28"/>
      <c r="U185" s="29"/>
    </row>
    <row r="186" spans="1:21" s="27" customFormat="1" ht="11.1" customHeight="1" x14ac:dyDescent="0.2">
      <c r="A186" s="14"/>
      <c r="B186" s="14"/>
      <c r="C186" s="14"/>
      <c r="D186" s="71"/>
      <c r="F186" s="84"/>
      <c r="T186" s="28"/>
      <c r="U186" s="29"/>
    </row>
    <row r="187" spans="1:21" s="27" customFormat="1" ht="12" customHeight="1" x14ac:dyDescent="0.2">
      <c r="A187" s="389"/>
      <c r="B187" s="385"/>
      <c r="C187" s="14"/>
      <c r="D187" s="71"/>
      <c r="F187" s="84"/>
      <c r="T187" s="28"/>
      <c r="U187" s="29"/>
    </row>
    <row r="188" spans="1:21" s="27" customFormat="1" ht="33.950000000000003" customHeight="1" x14ac:dyDescent="0.2">
      <c r="A188" s="14"/>
      <c r="B188" s="14"/>
      <c r="C188" s="14"/>
      <c r="D188" s="71"/>
      <c r="F188" s="84"/>
      <c r="T188" s="28"/>
      <c r="U188" s="29"/>
    </row>
    <row r="189" spans="1:21" s="27" customFormat="1" ht="11.1" customHeight="1" x14ac:dyDescent="0.2">
      <c r="A189" s="14"/>
      <c r="B189" s="14"/>
      <c r="C189" s="14"/>
      <c r="D189" s="71"/>
      <c r="F189" s="84"/>
      <c r="T189" s="28"/>
      <c r="U189" s="29"/>
    </row>
    <row r="190" spans="1:21" s="27" customFormat="1" ht="12" customHeight="1" x14ac:dyDescent="0.2">
      <c r="A190" s="389"/>
      <c r="B190" s="385"/>
      <c r="C190" s="14"/>
      <c r="D190" s="71"/>
      <c r="F190" s="84"/>
      <c r="T190" s="28"/>
      <c r="U190" s="29"/>
    </row>
    <row r="191" spans="1:21" s="27" customFormat="1" ht="24.95" customHeight="1" x14ac:dyDescent="0.2">
      <c r="A191" s="14"/>
      <c r="B191" s="383"/>
      <c r="C191" s="14"/>
      <c r="D191" s="71"/>
      <c r="F191" s="84"/>
      <c r="T191" s="28"/>
      <c r="U191" s="29"/>
    </row>
    <row r="192" spans="1:21" s="27" customFormat="1" ht="11.1" customHeight="1" x14ac:dyDescent="0.2">
      <c r="A192" s="14"/>
      <c r="B192" s="14"/>
      <c r="C192" s="14"/>
      <c r="D192" s="71"/>
      <c r="F192" s="84"/>
      <c r="T192" s="28"/>
      <c r="U192" s="29"/>
    </row>
    <row r="193" spans="1:21" s="27" customFormat="1" ht="24.95" customHeight="1" x14ac:dyDescent="0.2">
      <c r="A193" s="14"/>
      <c r="B193" s="383"/>
      <c r="C193" s="14"/>
      <c r="D193" s="71"/>
      <c r="F193" s="84"/>
      <c r="T193" s="28"/>
      <c r="U193" s="29"/>
    </row>
    <row r="194" spans="1:21" s="27" customFormat="1" ht="11.1" customHeight="1" x14ac:dyDescent="0.2">
      <c r="A194" s="14"/>
      <c r="B194" s="14"/>
      <c r="C194" s="14"/>
      <c r="D194" s="71"/>
      <c r="F194" s="84"/>
      <c r="T194" s="28"/>
      <c r="U194" s="29"/>
    </row>
    <row r="195" spans="1:21" s="27" customFormat="1" ht="51" customHeight="1" x14ac:dyDescent="0.2">
      <c r="A195" s="14"/>
      <c r="B195" s="383"/>
      <c r="C195" s="14"/>
      <c r="D195" s="71"/>
      <c r="F195" s="84"/>
      <c r="T195" s="28"/>
      <c r="U195" s="29"/>
    </row>
    <row r="196" spans="1:21" s="27" customFormat="1" ht="11.1" customHeight="1" x14ac:dyDescent="0.2">
      <c r="A196" s="14"/>
      <c r="B196" s="14"/>
      <c r="C196" s="14"/>
      <c r="D196" s="71"/>
      <c r="F196" s="84"/>
      <c r="T196" s="28"/>
      <c r="U196" s="29"/>
    </row>
    <row r="197" spans="1:21" s="27" customFormat="1" ht="12" customHeight="1" x14ac:dyDescent="0.2">
      <c r="A197" s="14"/>
      <c r="B197" s="383"/>
      <c r="C197" s="14"/>
      <c r="D197" s="71"/>
      <c r="F197" s="84"/>
      <c r="T197" s="28"/>
      <c r="U197" s="29"/>
    </row>
    <row r="198" spans="1:21" s="27" customFormat="1" ht="11.1" customHeight="1" x14ac:dyDescent="0.2">
      <c r="A198" s="14"/>
      <c r="B198" s="14"/>
      <c r="C198" s="14"/>
      <c r="D198" s="71"/>
      <c r="F198" s="84"/>
      <c r="T198" s="28"/>
      <c r="U198" s="29"/>
    </row>
    <row r="199" spans="1:21" s="27" customFormat="1" ht="75.95" customHeight="1" x14ac:dyDescent="0.2">
      <c r="A199" s="14"/>
      <c r="B199" s="383"/>
      <c r="C199" s="14"/>
      <c r="D199" s="71"/>
      <c r="F199" s="84"/>
      <c r="T199" s="28"/>
      <c r="U199" s="29"/>
    </row>
    <row r="200" spans="1:21" s="27" customFormat="1" ht="11.1" customHeight="1" x14ac:dyDescent="0.2">
      <c r="A200" s="14"/>
      <c r="B200" s="14"/>
      <c r="C200" s="14"/>
      <c r="D200" s="71"/>
      <c r="F200" s="84"/>
      <c r="T200" s="28"/>
      <c r="U200" s="29"/>
    </row>
    <row r="201" spans="1:21" s="27" customFormat="1" ht="51" customHeight="1" x14ac:dyDescent="0.2">
      <c r="A201" s="14"/>
      <c r="B201" s="383"/>
      <c r="C201" s="14"/>
      <c r="D201" s="71"/>
      <c r="F201" s="84"/>
      <c r="T201" s="28"/>
      <c r="U201" s="29"/>
    </row>
    <row r="202" spans="1:21" s="27" customFormat="1" ht="11.1" customHeight="1" x14ac:dyDescent="0.2">
      <c r="A202" s="14"/>
      <c r="B202" s="14"/>
      <c r="C202" s="14"/>
      <c r="D202" s="71"/>
      <c r="F202" s="84"/>
      <c r="T202" s="28"/>
      <c r="U202" s="29"/>
    </row>
    <row r="203" spans="1:21" s="27" customFormat="1" ht="51" customHeight="1" x14ac:dyDescent="0.2">
      <c r="A203" s="14"/>
      <c r="B203" s="383"/>
      <c r="C203" s="14"/>
      <c r="D203" s="71"/>
      <c r="F203" s="84"/>
      <c r="T203" s="28"/>
      <c r="U203" s="29"/>
    </row>
    <row r="204" spans="1:21" s="27" customFormat="1" ht="11.1" customHeight="1" x14ac:dyDescent="0.2">
      <c r="A204" s="14"/>
      <c r="B204" s="14"/>
      <c r="C204" s="14"/>
      <c r="D204" s="71"/>
      <c r="F204" s="84"/>
      <c r="T204" s="28"/>
      <c r="U204" s="29"/>
    </row>
    <row r="205" spans="1:21" s="27" customFormat="1" ht="12" customHeight="1" x14ac:dyDescent="0.2">
      <c r="A205" s="389"/>
      <c r="B205" s="385"/>
      <c r="C205" s="14"/>
      <c r="D205" s="71"/>
      <c r="F205" s="84"/>
      <c r="T205" s="28"/>
      <c r="U205" s="29"/>
    </row>
    <row r="206" spans="1:21" s="27" customFormat="1" ht="38.1" customHeight="1" x14ac:dyDescent="0.2">
      <c r="A206" s="14"/>
      <c r="B206" s="383"/>
      <c r="C206" s="14"/>
      <c r="D206" s="71"/>
      <c r="F206" s="84"/>
      <c r="T206" s="28"/>
      <c r="U206" s="29"/>
    </row>
    <row r="207" spans="1:21" s="27" customFormat="1" ht="11.1" customHeight="1" x14ac:dyDescent="0.2">
      <c r="A207" s="14"/>
      <c r="B207" s="14"/>
      <c r="C207" s="14"/>
      <c r="D207" s="71"/>
      <c r="F207" s="84"/>
      <c r="T207" s="28"/>
      <c r="U207" s="29"/>
    </row>
    <row r="208" spans="1:21" s="27" customFormat="1" ht="12" customHeight="1" x14ac:dyDescent="0.2">
      <c r="A208" s="390"/>
      <c r="B208" s="385"/>
      <c r="C208" s="14"/>
      <c r="D208" s="71"/>
      <c r="F208" s="84"/>
      <c r="T208" s="28"/>
      <c r="U208" s="29"/>
    </row>
    <row r="209" spans="1:21" s="27" customFormat="1" ht="21.95" customHeight="1" x14ac:dyDescent="0.2">
      <c r="A209" s="386"/>
      <c r="B209" s="387"/>
      <c r="C209" s="15"/>
      <c r="D209" s="71"/>
      <c r="F209" s="84"/>
      <c r="T209" s="28"/>
      <c r="U209" s="29"/>
    </row>
    <row r="210" spans="1:21" s="27" customFormat="1" ht="51" customHeight="1" x14ac:dyDescent="0.2">
      <c r="A210" s="14"/>
      <c r="B210" s="383"/>
      <c r="C210" s="18"/>
      <c r="D210" s="71"/>
      <c r="F210" s="84"/>
      <c r="T210" s="28"/>
      <c r="U210" s="29"/>
    </row>
    <row r="211" spans="1:21" s="27" customFormat="1" ht="11.1" customHeight="1" x14ac:dyDescent="0.2">
      <c r="A211" s="14"/>
      <c r="B211" s="14"/>
      <c r="C211" s="14"/>
      <c r="D211" s="71"/>
      <c r="F211" s="84"/>
      <c r="T211" s="28"/>
      <c r="U211" s="29"/>
    </row>
    <row r="212" spans="1:21" s="27" customFormat="1" ht="12" customHeight="1" x14ac:dyDescent="0.2">
      <c r="A212" s="388"/>
      <c r="B212" s="385"/>
      <c r="C212" s="14"/>
      <c r="D212" s="71"/>
      <c r="F212" s="84"/>
      <c r="T212" s="28"/>
      <c r="U212" s="29"/>
    </row>
    <row r="213" spans="1:21" s="27" customFormat="1" ht="24.95" customHeight="1" x14ac:dyDescent="0.2">
      <c r="A213" s="14"/>
      <c r="B213" s="383"/>
      <c r="C213" s="14"/>
      <c r="D213" s="71"/>
      <c r="F213" s="84"/>
      <c r="T213" s="28"/>
      <c r="U213" s="29"/>
    </row>
    <row r="214" spans="1:21" s="27" customFormat="1" ht="11.1" customHeight="1" x14ac:dyDescent="0.2">
      <c r="A214" s="14"/>
      <c r="B214" s="14"/>
      <c r="C214" s="14"/>
      <c r="D214" s="71"/>
      <c r="F214" s="84"/>
      <c r="T214" s="28"/>
      <c r="U214" s="29"/>
    </row>
    <row r="215" spans="1:21" s="27" customFormat="1" ht="75.95" customHeight="1" x14ac:dyDescent="0.2">
      <c r="A215" s="14"/>
      <c r="B215" s="383"/>
      <c r="C215" s="14"/>
      <c r="D215" s="71"/>
      <c r="F215" s="84"/>
      <c r="T215" s="28"/>
      <c r="U215" s="29"/>
    </row>
    <row r="216" spans="1:21" s="27" customFormat="1" ht="11.1" customHeight="1" x14ac:dyDescent="0.2">
      <c r="A216" s="14"/>
      <c r="B216" s="14"/>
      <c r="C216" s="14"/>
      <c r="D216" s="71"/>
      <c r="F216" s="84"/>
      <c r="T216" s="28"/>
      <c r="U216" s="29"/>
    </row>
    <row r="217" spans="1:21" s="27" customFormat="1" ht="50.1" customHeight="1" x14ac:dyDescent="0.2">
      <c r="A217" s="14"/>
      <c r="B217" s="383"/>
      <c r="C217" s="14"/>
      <c r="D217" s="71"/>
      <c r="F217" s="84"/>
      <c r="T217" s="28"/>
      <c r="U217" s="29"/>
    </row>
    <row r="218" spans="1:21" s="27" customFormat="1" ht="11.1" customHeight="1" x14ac:dyDescent="0.2">
      <c r="A218" s="14"/>
      <c r="B218" s="14"/>
      <c r="C218" s="14"/>
      <c r="D218" s="71"/>
      <c r="F218" s="84"/>
      <c r="T218" s="28"/>
      <c r="U218" s="29"/>
    </row>
    <row r="219" spans="1:21" s="27" customFormat="1" ht="38.1" customHeight="1" x14ac:dyDescent="0.2">
      <c r="A219" s="14"/>
      <c r="B219" s="383"/>
      <c r="C219" s="14"/>
      <c r="D219" s="71"/>
      <c r="F219" s="84"/>
      <c r="T219" s="28"/>
      <c r="U219" s="29"/>
    </row>
    <row r="220" spans="1:21" s="27" customFormat="1" ht="11.1" customHeight="1" x14ac:dyDescent="0.2">
      <c r="A220" s="14"/>
      <c r="B220" s="14"/>
      <c r="C220" s="14"/>
      <c r="D220" s="71"/>
      <c r="F220" s="84"/>
      <c r="T220" s="28"/>
      <c r="U220" s="29"/>
    </row>
    <row r="221" spans="1:21" s="27" customFormat="1" ht="38.1" customHeight="1" x14ac:dyDescent="0.2">
      <c r="A221" s="14"/>
      <c r="B221" s="383"/>
      <c r="C221" s="14"/>
      <c r="D221" s="71"/>
      <c r="F221" s="84"/>
      <c r="T221" s="28"/>
      <c r="U221" s="29"/>
    </row>
    <row r="222" spans="1:21" s="27" customFormat="1" ht="11.1" customHeight="1" x14ac:dyDescent="0.2">
      <c r="A222" s="14"/>
      <c r="B222" s="14"/>
      <c r="C222" s="14"/>
      <c r="D222" s="71"/>
      <c r="F222" s="84"/>
      <c r="T222" s="28"/>
      <c r="U222" s="29"/>
    </row>
    <row r="223" spans="1:21" s="27" customFormat="1" ht="38.1" customHeight="1" x14ac:dyDescent="0.2">
      <c r="A223" s="14"/>
      <c r="B223" s="383"/>
      <c r="C223" s="14"/>
      <c r="D223" s="71"/>
      <c r="F223" s="84"/>
      <c r="T223" s="28"/>
      <c r="U223" s="29"/>
    </row>
    <row r="224" spans="1:21" s="27" customFormat="1" ht="11.1" customHeight="1" x14ac:dyDescent="0.2">
      <c r="A224" s="14"/>
      <c r="B224" s="14"/>
      <c r="C224" s="14"/>
      <c r="D224" s="71"/>
      <c r="F224" s="84"/>
      <c r="T224" s="28"/>
      <c r="U224" s="29"/>
    </row>
    <row r="225" spans="1:21" s="27" customFormat="1" ht="89.1" customHeight="1" x14ac:dyDescent="0.2">
      <c r="A225" s="14"/>
      <c r="B225" s="383"/>
      <c r="C225" s="14"/>
      <c r="D225" s="71"/>
      <c r="F225" s="84"/>
      <c r="T225" s="28"/>
      <c r="U225" s="29"/>
    </row>
    <row r="226" spans="1:21" s="27" customFormat="1" ht="11.1" customHeight="1" x14ac:dyDescent="0.2">
      <c r="A226" s="14"/>
      <c r="B226" s="14"/>
      <c r="C226" s="14"/>
      <c r="D226" s="71"/>
      <c r="F226" s="84"/>
      <c r="T226" s="28"/>
      <c r="U226" s="29"/>
    </row>
    <row r="227" spans="1:21" s="27" customFormat="1" ht="38.1" customHeight="1" x14ac:dyDescent="0.2">
      <c r="A227" s="14"/>
      <c r="B227" s="383"/>
      <c r="C227" s="14"/>
      <c r="D227" s="71"/>
      <c r="F227" s="84"/>
      <c r="T227" s="28"/>
      <c r="U227" s="29"/>
    </row>
    <row r="228" spans="1:21" s="27" customFormat="1" ht="11.1" customHeight="1" x14ac:dyDescent="0.2">
      <c r="A228" s="14"/>
      <c r="B228" s="14"/>
      <c r="C228" s="14"/>
      <c r="D228" s="71"/>
      <c r="F228" s="84"/>
      <c r="T228" s="28"/>
      <c r="U228" s="29"/>
    </row>
    <row r="229" spans="1:21" s="27" customFormat="1" ht="24.95" customHeight="1" x14ac:dyDescent="0.2">
      <c r="A229" s="14"/>
      <c r="B229" s="383"/>
      <c r="C229" s="14"/>
      <c r="D229" s="71"/>
      <c r="F229" s="84"/>
      <c r="T229" s="28"/>
      <c r="U229" s="29"/>
    </row>
    <row r="230" spans="1:21" s="27" customFormat="1" ht="11.1" customHeight="1" x14ac:dyDescent="0.2">
      <c r="A230" s="14"/>
      <c r="B230" s="14"/>
      <c r="C230" s="14"/>
      <c r="D230" s="71"/>
      <c r="F230" s="84"/>
      <c r="T230" s="28"/>
      <c r="U230" s="29"/>
    </row>
    <row r="231" spans="1:21" s="27" customFormat="1" ht="21.95" customHeight="1" x14ac:dyDescent="0.2">
      <c r="A231" s="386"/>
      <c r="B231" s="387"/>
      <c r="C231" s="15"/>
      <c r="D231" s="71"/>
      <c r="F231" s="84"/>
      <c r="T231" s="28"/>
      <c r="U231" s="29"/>
    </row>
    <row r="232" spans="1:21" s="27" customFormat="1" ht="63" customHeight="1" x14ac:dyDescent="0.2">
      <c r="A232" s="14"/>
      <c r="B232" s="14"/>
      <c r="C232" s="14"/>
      <c r="D232" s="71"/>
      <c r="F232" s="84"/>
      <c r="T232" s="28"/>
      <c r="U232" s="29"/>
    </row>
    <row r="233" spans="1:21" s="27" customFormat="1" ht="11.1" customHeight="1" x14ac:dyDescent="0.2">
      <c r="A233" s="14"/>
      <c r="B233" s="14"/>
      <c r="C233" s="14"/>
      <c r="D233" s="71"/>
      <c r="F233" s="84"/>
      <c r="T233" s="28"/>
      <c r="U233" s="29"/>
    </row>
    <row r="234" spans="1:21" s="27" customFormat="1" ht="12" customHeight="1" x14ac:dyDescent="0.2">
      <c r="A234" s="390"/>
      <c r="B234" s="385"/>
      <c r="C234" s="14"/>
      <c r="D234" s="71"/>
      <c r="F234" s="84"/>
      <c r="T234" s="28"/>
      <c r="U234" s="29"/>
    </row>
    <row r="235" spans="1:21" s="27" customFormat="1" ht="38.1" customHeight="1" x14ac:dyDescent="0.2">
      <c r="A235" s="14"/>
      <c r="B235" s="383"/>
      <c r="C235" s="14"/>
      <c r="D235" s="71"/>
      <c r="F235" s="84"/>
      <c r="T235" s="28"/>
      <c r="U235" s="29"/>
    </row>
    <row r="236" spans="1:21" s="27" customFormat="1" ht="11.1" customHeight="1" x14ac:dyDescent="0.2">
      <c r="A236" s="14"/>
      <c r="B236" s="14"/>
      <c r="C236" s="14"/>
      <c r="D236" s="71"/>
      <c r="F236" s="84"/>
      <c r="T236" s="28"/>
      <c r="U236" s="29"/>
    </row>
    <row r="237" spans="1:21" s="27" customFormat="1" ht="51" customHeight="1" x14ac:dyDescent="0.2">
      <c r="A237" s="14"/>
      <c r="B237" s="383"/>
      <c r="C237" s="14"/>
      <c r="D237" s="71"/>
      <c r="F237" s="84"/>
      <c r="T237" s="28"/>
      <c r="U237" s="29"/>
    </row>
    <row r="238" spans="1:21" s="27" customFormat="1" ht="11.1" customHeight="1" x14ac:dyDescent="0.2">
      <c r="A238" s="14"/>
      <c r="B238" s="14"/>
      <c r="C238" s="14"/>
      <c r="D238" s="71"/>
      <c r="F238" s="84"/>
      <c r="T238" s="28"/>
      <c r="U238" s="29"/>
    </row>
    <row r="239" spans="1:21" s="27" customFormat="1" ht="38.1" customHeight="1" x14ac:dyDescent="0.2">
      <c r="A239" s="14"/>
      <c r="B239" s="383"/>
      <c r="C239" s="14"/>
      <c r="D239" s="71"/>
      <c r="F239" s="84"/>
      <c r="T239" s="28"/>
      <c r="U239" s="29"/>
    </row>
    <row r="240" spans="1:21" s="27" customFormat="1" ht="11.1" customHeight="1" x14ac:dyDescent="0.2">
      <c r="A240" s="14"/>
      <c r="B240" s="14"/>
      <c r="C240" s="14"/>
      <c r="D240" s="71"/>
      <c r="F240" s="84"/>
      <c r="T240" s="28"/>
      <c r="U240" s="29"/>
    </row>
    <row r="241" spans="1:21" s="27" customFormat="1" ht="38.1" customHeight="1" x14ac:dyDescent="0.2">
      <c r="A241" s="14"/>
      <c r="B241" s="383"/>
      <c r="C241" s="14"/>
      <c r="D241" s="71"/>
      <c r="F241" s="84"/>
      <c r="T241" s="28"/>
      <c r="U241" s="29"/>
    </row>
    <row r="242" spans="1:21" s="27" customFormat="1" ht="11.1" customHeight="1" x14ac:dyDescent="0.2">
      <c r="A242" s="14"/>
      <c r="B242" s="14"/>
      <c r="C242" s="14"/>
      <c r="D242" s="71"/>
      <c r="F242" s="84"/>
      <c r="T242" s="28"/>
      <c r="U242" s="29"/>
    </row>
    <row r="243" spans="1:21" s="27" customFormat="1" ht="114" customHeight="1" x14ac:dyDescent="0.2">
      <c r="A243" s="14"/>
      <c r="B243" s="383"/>
      <c r="C243" s="14"/>
      <c r="D243" s="71"/>
      <c r="F243" s="84"/>
      <c r="T243" s="28"/>
      <c r="U243" s="29"/>
    </row>
    <row r="244" spans="1:21" s="27" customFormat="1" ht="11.1" customHeight="1" x14ac:dyDescent="0.2">
      <c r="A244" s="14"/>
      <c r="B244" s="14"/>
      <c r="C244" s="14"/>
      <c r="D244" s="71"/>
      <c r="F244" s="84"/>
      <c r="T244" s="28"/>
      <c r="U244" s="29"/>
    </row>
    <row r="245" spans="1:21" s="27" customFormat="1" ht="63" customHeight="1" x14ac:dyDescent="0.2">
      <c r="A245" s="14"/>
      <c r="B245" s="383"/>
      <c r="C245" s="14"/>
      <c r="D245" s="71"/>
      <c r="F245" s="84"/>
      <c r="T245" s="28"/>
      <c r="U245" s="29"/>
    </row>
    <row r="246" spans="1:21" s="27" customFormat="1" ht="11.1" customHeight="1" x14ac:dyDescent="0.2">
      <c r="A246" s="14"/>
      <c r="B246" s="14"/>
      <c r="C246" s="14"/>
      <c r="D246" s="71"/>
      <c r="F246" s="84"/>
      <c r="T246" s="28"/>
      <c r="U246" s="29"/>
    </row>
    <row r="247" spans="1:21" s="27" customFormat="1" ht="12" customHeight="1" x14ac:dyDescent="0.2">
      <c r="A247" s="390"/>
      <c r="B247" s="385"/>
      <c r="C247" s="14"/>
      <c r="D247" s="71"/>
      <c r="F247" s="84"/>
      <c r="T247" s="28"/>
      <c r="U247" s="29"/>
    </row>
    <row r="248" spans="1:21" s="27" customFormat="1" ht="38.1" customHeight="1" x14ac:dyDescent="0.2">
      <c r="A248" s="14"/>
      <c r="B248" s="383"/>
      <c r="C248" s="14"/>
      <c r="D248" s="71"/>
      <c r="F248" s="84"/>
      <c r="T248" s="28"/>
      <c r="U248" s="29"/>
    </row>
    <row r="249" spans="1:21" s="27" customFormat="1" ht="11.1" customHeight="1" x14ac:dyDescent="0.2">
      <c r="A249" s="14"/>
      <c r="B249" s="14"/>
      <c r="C249" s="14"/>
      <c r="D249" s="71"/>
      <c r="F249" s="84"/>
      <c r="T249" s="28"/>
      <c r="U249" s="29"/>
    </row>
    <row r="250" spans="1:21" s="27" customFormat="1" ht="12" customHeight="1" x14ac:dyDescent="0.2">
      <c r="A250" s="14"/>
      <c r="B250" s="18"/>
      <c r="C250" s="14"/>
      <c r="D250" s="71"/>
      <c r="F250" s="84"/>
      <c r="T250" s="28"/>
      <c r="U250" s="29"/>
    </row>
    <row r="251" spans="1:21" s="27" customFormat="1" ht="11.1" customHeight="1" x14ac:dyDescent="0.2">
      <c r="A251" s="14"/>
      <c r="B251" s="14"/>
      <c r="C251" s="14"/>
      <c r="D251" s="71"/>
      <c r="F251" s="84"/>
      <c r="T251" s="28"/>
      <c r="U251" s="29"/>
    </row>
    <row r="252" spans="1:21" s="27" customFormat="1" ht="11.1" customHeight="1" x14ac:dyDescent="0.2">
      <c r="A252" s="384"/>
      <c r="B252" s="385"/>
      <c r="C252" s="14"/>
      <c r="D252" s="71"/>
      <c r="F252" s="84"/>
      <c r="T252" s="28"/>
      <c r="U252" s="29"/>
    </row>
    <row r="253" spans="1:21" s="27" customFormat="1" ht="21.95" customHeight="1" x14ac:dyDescent="0.2">
      <c r="A253" s="386"/>
      <c r="B253" s="387"/>
      <c r="C253" s="15"/>
      <c r="D253" s="71"/>
      <c r="F253" s="84"/>
      <c r="T253" s="28"/>
      <c r="U253" s="29"/>
    </row>
    <row r="254" spans="1:21" s="27" customFormat="1" ht="75.95" customHeight="1" x14ac:dyDescent="0.2">
      <c r="A254" s="14"/>
      <c r="B254" s="383"/>
      <c r="C254" s="14"/>
      <c r="D254" s="71"/>
      <c r="F254" s="84"/>
      <c r="T254" s="28"/>
      <c r="U254" s="29"/>
    </row>
    <row r="255" spans="1:21" s="27" customFormat="1" ht="11.1" customHeight="1" x14ac:dyDescent="0.2">
      <c r="A255" s="14"/>
      <c r="B255" s="14"/>
      <c r="C255" s="14"/>
      <c r="D255" s="71"/>
      <c r="F255" s="84"/>
      <c r="T255" s="28"/>
      <c r="U255" s="29"/>
    </row>
    <row r="256" spans="1:21" s="27" customFormat="1" ht="75.95" customHeight="1" x14ac:dyDescent="0.2">
      <c r="A256" s="14"/>
      <c r="B256" s="383"/>
      <c r="C256" s="14"/>
      <c r="D256" s="71"/>
      <c r="F256" s="84"/>
      <c r="T256" s="28"/>
      <c r="U256" s="29"/>
    </row>
    <row r="257" spans="1:21" s="27" customFormat="1" ht="11.1" customHeight="1" x14ac:dyDescent="0.2">
      <c r="A257" s="14"/>
      <c r="B257" s="14"/>
      <c r="C257" s="14"/>
      <c r="D257" s="71"/>
      <c r="F257" s="84"/>
      <c r="T257" s="28"/>
      <c r="U257" s="29"/>
    </row>
    <row r="258" spans="1:21" s="27" customFormat="1" ht="12" customHeight="1" x14ac:dyDescent="0.2">
      <c r="A258" s="14"/>
      <c r="B258" s="18"/>
      <c r="C258" s="14"/>
      <c r="D258" s="71"/>
      <c r="F258" s="84"/>
      <c r="T258" s="28"/>
      <c r="U258" s="29"/>
    </row>
    <row r="259" spans="1:21" s="27" customFormat="1" ht="11.1" customHeight="1" x14ac:dyDescent="0.2">
      <c r="A259" s="14"/>
      <c r="B259" s="14"/>
      <c r="C259" s="14"/>
      <c r="D259" s="71"/>
      <c r="F259" s="84"/>
      <c r="T259" s="28"/>
      <c r="U259" s="29"/>
    </row>
    <row r="260" spans="1:21" s="27" customFormat="1" ht="12" customHeight="1" x14ac:dyDescent="0.2">
      <c r="A260" s="384"/>
      <c r="B260" s="385"/>
      <c r="C260" s="14"/>
      <c r="D260" s="71"/>
      <c r="F260" s="84"/>
      <c r="T260" s="28"/>
      <c r="U260" s="29"/>
    </row>
    <row r="261" spans="1:21" s="27" customFormat="1" ht="38.1" customHeight="1" x14ac:dyDescent="0.2">
      <c r="A261" s="14"/>
      <c r="B261" s="383"/>
      <c r="C261" s="18"/>
      <c r="D261" s="71"/>
      <c r="F261" s="84"/>
      <c r="T261" s="28"/>
      <c r="U261" s="29"/>
    </row>
    <row r="262" spans="1:21" s="27" customFormat="1" ht="11.1" customHeight="1" x14ac:dyDescent="0.2">
      <c r="A262" s="14"/>
      <c r="B262" s="14"/>
      <c r="C262" s="14"/>
      <c r="D262" s="71"/>
      <c r="F262" s="84"/>
      <c r="T262" s="28"/>
      <c r="U262" s="29"/>
    </row>
    <row r="263" spans="1:21" s="27" customFormat="1" ht="24.95" customHeight="1" x14ac:dyDescent="0.2">
      <c r="A263" s="14"/>
      <c r="B263" s="383"/>
      <c r="C263" s="18"/>
      <c r="D263" s="71"/>
      <c r="F263" s="84"/>
      <c r="T263" s="28"/>
      <c r="U263" s="29"/>
    </row>
    <row r="264" spans="1:21" s="27" customFormat="1" ht="11.1" customHeight="1" x14ac:dyDescent="0.2">
      <c r="A264" s="14"/>
      <c r="B264" s="14"/>
      <c r="C264" s="14"/>
      <c r="D264" s="71"/>
      <c r="F264" s="84"/>
      <c r="T264" s="28"/>
      <c r="U264" s="29"/>
    </row>
    <row r="265" spans="1:21" s="27" customFormat="1" ht="63" customHeight="1" x14ac:dyDescent="0.2">
      <c r="A265" s="14"/>
      <c r="B265" s="383"/>
      <c r="C265" s="18"/>
      <c r="D265" s="71"/>
      <c r="F265" s="84"/>
      <c r="T265" s="28"/>
      <c r="U265" s="29"/>
    </row>
    <row r="266" spans="1:21" s="27" customFormat="1" ht="11.1" customHeight="1" x14ac:dyDescent="0.2">
      <c r="A266" s="14"/>
      <c r="B266" s="14"/>
      <c r="C266" s="14"/>
      <c r="D266" s="71"/>
      <c r="F266" s="84"/>
      <c r="T266" s="28"/>
      <c r="U266" s="29"/>
    </row>
    <row r="267" spans="1:21" s="27" customFormat="1" ht="12" customHeight="1" x14ac:dyDescent="0.2">
      <c r="A267" s="14"/>
      <c r="B267" s="18"/>
      <c r="C267" s="14"/>
      <c r="D267" s="71"/>
      <c r="F267" s="84"/>
      <c r="T267" s="28"/>
      <c r="U267" s="29"/>
    </row>
    <row r="268" spans="1:21" s="27" customFormat="1" ht="11.1" customHeight="1" x14ac:dyDescent="0.2">
      <c r="A268" s="14"/>
      <c r="B268" s="14"/>
      <c r="C268" s="14"/>
      <c r="D268" s="71"/>
      <c r="F268" s="84"/>
      <c r="T268" s="28"/>
      <c r="U268" s="29"/>
    </row>
    <row r="269" spans="1:21" s="27" customFormat="1" ht="11.1" customHeight="1" x14ac:dyDescent="0.2">
      <c r="A269" s="14"/>
      <c r="B269" s="18"/>
      <c r="C269" s="14"/>
      <c r="D269" s="71"/>
      <c r="F269" s="84"/>
      <c r="T269" s="28"/>
      <c r="U269" s="29"/>
    </row>
    <row r="270" spans="1:21" s="27" customFormat="1" ht="12" customHeight="1" x14ac:dyDescent="0.2">
      <c r="A270" s="384"/>
      <c r="B270" s="18"/>
      <c r="C270" s="14"/>
      <c r="D270" s="71"/>
      <c r="F270" s="84"/>
      <c r="T270" s="28"/>
      <c r="U270" s="29"/>
    </row>
    <row r="271" spans="1:21" s="27" customFormat="1" ht="60" customHeight="1" x14ac:dyDescent="0.2">
      <c r="A271" s="14"/>
      <c r="B271" s="383"/>
      <c r="C271" s="14"/>
      <c r="D271" s="71"/>
      <c r="F271" s="84"/>
      <c r="T271" s="28"/>
      <c r="U271" s="29"/>
    </row>
    <row r="272" spans="1:21" s="27" customFormat="1" ht="11.1" customHeight="1" x14ac:dyDescent="0.2">
      <c r="A272" s="14"/>
      <c r="B272" s="14"/>
      <c r="C272" s="14"/>
      <c r="D272" s="71"/>
      <c r="F272" s="84"/>
      <c r="T272" s="28"/>
      <c r="U272" s="29"/>
    </row>
    <row r="273" spans="1:21" s="27" customFormat="1" ht="12" customHeight="1" x14ac:dyDescent="0.2">
      <c r="A273" s="14"/>
      <c r="B273" s="18"/>
      <c r="C273" s="14"/>
      <c r="D273" s="71"/>
      <c r="F273" s="84"/>
      <c r="T273" s="28"/>
      <c r="U273" s="29"/>
    </row>
    <row r="274" spans="1:21" s="27" customFormat="1" ht="11.1" customHeight="1" x14ac:dyDescent="0.2">
      <c r="A274" s="14"/>
      <c r="B274" s="14"/>
      <c r="C274" s="14"/>
      <c r="D274" s="71"/>
      <c r="F274" s="84"/>
      <c r="T274" s="28"/>
      <c r="U274" s="29"/>
    </row>
    <row r="275" spans="1:21" s="27" customFormat="1" ht="12" customHeight="1" x14ac:dyDescent="0.2">
      <c r="A275" s="384"/>
      <c r="B275" s="18"/>
      <c r="C275" s="14"/>
      <c r="D275" s="71"/>
      <c r="F275" s="84"/>
      <c r="T275" s="28"/>
      <c r="U275" s="29"/>
    </row>
    <row r="276" spans="1:21" s="27" customFormat="1" ht="90" customHeight="1" x14ac:dyDescent="0.2">
      <c r="A276" s="14"/>
      <c r="B276" s="383"/>
      <c r="C276" s="19"/>
      <c r="D276" s="71"/>
      <c r="F276" s="84"/>
      <c r="T276" s="28"/>
      <c r="U276" s="29"/>
    </row>
    <row r="277" spans="1:21" s="27" customFormat="1" ht="11.1" customHeight="1" x14ac:dyDescent="0.2">
      <c r="A277" s="14"/>
      <c r="B277" s="14"/>
      <c r="C277" s="14"/>
      <c r="D277" s="71"/>
      <c r="F277" s="84"/>
      <c r="T277" s="28"/>
      <c r="U277" s="29"/>
    </row>
    <row r="278" spans="1:21" s="27" customFormat="1" ht="21.95" customHeight="1" x14ac:dyDescent="0.2">
      <c r="A278" s="386"/>
      <c r="B278" s="387"/>
      <c r="C278" s="15"/>
      <c r="D278" s="71"/>
      <c r="F278" s="84"/>
      <c r="T278" s="28"/>
      <c r="U278" s="29"/>
    </row>
    <row r="279" spans="1:21" s="27" customFormat="1" ht="75.95" customHeight="1" x14ac:dyDescent="0.2">
      <c r="A279" s="14"/>
      <c r="B279" s="383"/>
      <c r="C279" s="19"/>
      <c r="D279" s="71"/>
      <c r="F279" s="84"/>
      <c r="T279" s="28"/>
      <c r="U279" s="29"/>
    </row>
    <row r="280" spans="1:21" s="27" customFormat="1" ht="11.1" customHeight="1" x14ac:dyDescent="0.2">
      <c r="A280" s="14"/>
      <c r="B280" s="14"/>
      <c r="C280" s="14"/>
      <c r="D280" s="71"/>
      <c r="F280" s="84"/>
      <c r="T280" s="28"/>
      <c r="U280" s="29"/>
    </row>
    <row r="281" spans="1:21" s="27" customFormat="1" ht="75.95" customHeight="1" x14ac:dyDescent="0.2">
      <c r="A281" s="14"/>
      <c r="B281" s="383"/>
      <c r="C281" s="19"/>
      <c r="D281" s="71"/>
      <c r="F281" s="84"/>
      <c r="T281" s="28"/>
      <c r="U281" s="29"/>
    </row>
    <row r="282" spans="1:21" s="27" customFormat="1" ht="11.1" customHeight="1" x14ac:dyDescent="0.2">
      <c r="A282" s="14"/>
      <c r="B282" s="14"/>
      <c r="C282" s="14"/>
      <c r="D282" s="71"/>
      <c r="F282" s="84"/>
      <c r="T282" s="28"/>
      <c r="U282" s="29"/>
    </row>
    <row r="283" spans="1:21" s="27" customFormat="1" ht="24.95" customHeight="1" x14ac:dyDescent="0.2">
      <c r="A283" s="14"/>
      <c r="B283" s="383"/>
      <c r="C283" s="20"/>
      <c r="D283" s="71"/>
      <c r="F283" s="84"/>
      <c r="T283" s="28"/>
      <c r="U283" s="29"/>
    </row>
    <row r="284" spans="1:21" s="27" customFormat="1" ht="11.1" customHeight="1" x14ac:dyDescent="0.2">
      <c r="A284" s="14"/>
      <c r="B284" s="14"/>
      <c r="C284" s="14"/>
      <c r="D284" s="71"/>
      <c r="F284" s="84"/>
      <c r="T284" s="28"/>
      <c r="U284" s="29"/>
    </row>
    <row r="285" spans="1:21" s="27" customFormat="1" ht="12" customHeight="1" x14ac:dyDescent="0.2">
      <c r="A285" s="14"/>
      <c r="B285" s="18"/>
      <c r="C285" s="14"/>
      <c r="D285" s="71"/>
      <c r="F285" s="84"/>
      <c r="T285" s="28"/>
      <c r="U285" s="29"/>
    </row>
    <row r="286" spans="1:21" s="27" customFormat="1" ht="11.1" customHeight="1" x14ac:dyDescent="0.2">
      <c r="A286" s="14"/>
      <c r="B286" s="14"/>
      <c r="C286" s="14"/>
      <c r="D286" s="71"/>
      <c r="F286" s="84"/>
      <c r="T286" s="28"/>
      <c r="U286" s="29"/>
    </row>
    <row r="287" spans="1:21" s="27" customFormat="1" ht="12" customHeight="1" x14ac:dyDescent="0.2">
      <c r="A287" s="384"/>
      <c r="B287" s="18"/>
      <c r="C287" s="14"/>
      <c r="D287" s="71"/>
      <c r="F287" s="84"/>
      <c r="T287" s="28"/>
      <c r="U287" s="29"/>
    </row>
    <row r="288" spans="1:21" s="27" customFormat="1" ht="24.95" customHeight="1" x14ac:dyDescent="0.2">
      <c r="A288" s="14"/>
      <c r="B288" s="383"/>
      <c r="C288" s="21"/>
      <c r="D288" s="71"/>
      <c r="F288" s="84"/>
      <c r="T288" s="28"/>
      <c r="U288" s="29"/>
    </row>
    <row r="289" spans="1:21" s="27" customFormat="1" ht="11.1" customHeight="1" x14ac:dyDescent="0.2">
      <c r="A289" s="14"/>
      <c r="B289" s="14"/>
      <c r="C289" s="14"/>
      <c r="D289" s="71"/>
      <c r="F289" s="84"/>
      <c r="T289" s="28"/>
      <c r="U289" s="29"/>
    </row>
    <row r="290" spans="1:21" s="27" customFormat="1" ht="12" customHeight="1" x14ac:dyDescent="0.2">
      <c r="A290" s="14"/>
      <c r="B290" s="18"/>
      <c r="C290" s="14"/>
      <c r="D290" s="71"/>
      <c r="F290" s="84"/>
      <c r="T290" s="28"/>
      <c r="U290" s="29"/>
    </row>
    <row r="291" spans="1:21" s="27" customFormat="1" ht="11.1" customHeight="1" x14ac:dyDescent="0.2">
      <c r="A291" s="14"/>
      <c r="B291" s="14"/>
      <c r="C291" s="14"/>
      <c r="D291" s="71"/>
      <c r="F291" s="84"/>
      <c r="T291" s="28"/>
      <c r="U291" s="29"/>
    </row>
    <row r="292" spans="1:21" s="27" customFormat="1" ht="21.95" customHeight="1" x14ac:dyDescent="0.2">
      <c r="A292" s="386"/>
      <c r="B292" s="387"/>
      <c r="C292" s="15"/>
      <c r="D292" s="71"/>
      <c r="F292" s="84"/>
      <c r="T292" s="28"/>
      <c r="U292" s="29"/>
    </row>
    <row r="293" spans="1:21" s="27" customFormat="1" ht="11.1" customHeight="1" x14ac:dyDescent="0.2">
      <c r="A293" s="14"/>
      <c r="B293" s="14"/>
      <c r="C293" s="14"/>
      <c r="D293" s="71"/>
      <c r="F293" s="84"/>
      <c r="T293" s="28"/>
      <c r="U293" s="29"/>
    </row>
    <row r="294" spans="1:21" s="27" customFormat="1" ht="12" customHeight="1" x14ac:dyDescent="0.2">
      <c r="A294" s="384"/>
      <c r="B294" s="18"/>
      <c r="C294" s="14"/>
      <c r="D294" s="71"/>
      <c r="F294" s="84"/>
      <c r="T294" s="28"/>
      <c r="U294" s="29"/>
    </row>
    <row r="295" spans="1:21" s="27" customFormat="1" ht="38.1" customHeight="1" x14ac:dyDescent="0.2">
      <c r="A295" s="14"/>
      <c r="B295" s="383"/>
      <c r="C295" s="14"/>
      <c r="D295" s="71"/>
      <c r="F295" s="84"/>
      <c r="T295" s="28"/>
      <c r="U295" s="29"/>
    </row>
    <row r="296" spans="1:21" s="27" customFormat="1" ht="11.1" customHeight="1" x14ac:dyDescent="0.2">
      <c r="A296" s="14"/>
      <c r="B296" s="14"/>
      <c r="C296" s="14"/>
      <c r="D296" s="71"/>
      <c r="F296" s="84"/>
      <c r="T296" s="28"/>
      <c r="U296" s="29"/>
    </row>
    <row r="297" spans="1:21" s="27" customFormat="1" ht="140.1" customHeight="1" x14ac:dyDescent="0.2">
      <c r="A297" s="14"/>
      <c r="B297" s="383"/>
      <c r="C297" s="14"/>
      <c r="D297" s="71"/>
      <c r="F297" s="84"/>
      <c r="T297" s="28"/>
      <c r="U297" s="29"/>
    </row>
    <row r="298" spans="1:21" s="27" customFormat="1" ht="11.1" customHeight="1" x14ac:dyDescent="0.2">
      <c r="A298" s="14"/>
      <c r="B298" s="14"/>
      <c r="C298" s="14"/>
      <c r="D298" s="71"/>
      <c r="F298" s="84"/>
      <c r="T298" s="28"/>
      <c r="U298" s="29"/>
    </row>
    <row r="299" spans="1:21" s="27" customFormat="1" ht="24.95" customHeight="1" x14ac:dyDescent="0.2">
      <c r="A299" s="14"/>
      <c r="B299" s="383"/>
      <c r="C299" s="14"/>
      <c r="D299" s="71"/>
      <c r="F299" s="84"/>
      <c r="T299" s="28"/>
      <c r="U299" s="29"/>
    </row>
    <row r="300" spans="1:21" s="27" customFormat="1" ht="11.1" customHeight="1" x14ac:dyDescent="0.2">
      <c r="A300" s="14"/>
      <c r="B300" s="14"/>
      <c r="C300" s="14"/>
      <c r="D300" s="71"/>
      <c r="F300" s="84"/>
      <c r="T300" s="28"/>
      <c r="U300" s="29"/>
    </row>
    <row r="301" spans="1:21" s="27" customFormat="1" ht="24.95" customHeight="1" x14ac:dyDescent="0.2">
      <c r="A301" s="14"/>
      <c r="B301" s="383"/>
      <c r="C301" s="14"/>
      <c r="D301" s="71"/>
      <c r="F301" s="84"/>
      <c r="T301" s="28"/>
      <c r="U301" s="29"/>
    </row>
    <row r="302" spans="1:21" s="27" customFormat="1" ht="11.1" customHeight="1" x14ac:dyDescent="0.2">
      <c r="A302" s="14"/>
      <c r="B302" s="14"/>
      <c r="C302" s="14"/>
      <c r="D302" s="71"/>
      <c r="F302" s="84"/>
      <c r="T302" s="28"/>
      <c r="U302" s="29"/>
    </row>
    <row r="303" spans="1:21" s="27" customFormat="1" ht="75.95" customHeight="1" x14ac:dyDescent="0.2">
      <c r="A303" s="14"/>
      <c r="B303" s="14"/>
      <c r="C303" s="14"/>
      <c r="D303" s="71"/>
      <c r="F303" s="84"/>
      <c r="T303" s="28"/>
      <c r="U303" s="29"/>
    </row>
    <row r="304" spans="1:21" s="27" customFormat="1" ht="11.1" customHeight="1" x14ac:dyDescent="0.2">
      <c r="A304" s="14"/>
      <c r="B304" s="14"/>
      <c r="C304" s="14"/>
      <c r="D304" s="71"/>
      <c r="F304" s="84"/>
      <c r="T304" s="28"/>
      <c r="U304" s="29"/>
    </row>
    <row r="305" spans="1:21" s="27" customFormat="1" ht="24.95" customHeight="1" x14ac:dyDescent="0.2">
      <c r="A305" s="14"/>
      <c r="B305" s="383"/>
      <c r="C305" s="14"/>
      <c r="D305" s="71"/>
      <c r="F305" s="84"/>
      <c r="T305" s="28"/>
      <c r="U305" s="29"/>
    </row>
    <row r="306" spans="1:21" s="27" customFormat="1" ht="11.1" customHeight="1" x14ac:dyDescent="0.2">
      <c r="A306" s="14"/>
      <c r="B306" s="14"/>
      <c r="C306" s="14"/>
      <c r="D306" s="71"/>
      <c r="F306" s="84"/>
      <c r="T306" s="28"/>
      <c r="U306" s="29"/>
    </row>
    <row r="307" spans="1:21" s="27" customFormat="1" ht="38.1" customHeight="1" x14ac:dyDescent="0.2">
      <c r="A307" s="14"/>
      <c r="B307" s="383"/>
      <c r="C307" s="14"/>
      <c r="D307" s="71"/>
      <c r="F307" s="84"/>
      <c r="T307" s="28"/>
      <c r="U307" s="29"/>
    </row>
    <row r="308" spans="1:21" s="27" customFormat="1" ht="11.1" customHeight="1" x14ac:dyDescent="0.2">
      <c r="A308" s="14"/>
      <c r="B308" s="14"/>
      <c r="C308" s="14"/>
      <c r="D308" s="71"/>
      <c r="F308" s="84"/>
      <c r="T308" s="28"/>
      <c r="U308" s="29"/>
    </row>
    <row r="309" spans="1:21" s="27" customFormat="1" ht="12" customHeight="1" x14ac:dyDescent="0.2">
      <c r="A309" s="389"/>
      <c r="B309" s="385"/>
      <c r="C309" s="14"/>
      <c r="D309" s="71"/>
      <c r="F309" s="84"/>
      <c r="T309" s="28"/>
      <c r="U309" s="29"/>
    </row>
    <row r="310" spans="1:21" s="27" customFormat="1" ht="38.1" customHeight="1" x14ac:dyDescent="0.2">
      <c r="A310" s="14"/>
      <c r="B310" s="383"/>
      <c r="C310" s="14"/>
      <c r="D310" s="71"/>
      <c r="F310" s="84"/>
      <c r="T310" s="28"/>
      <c r="U310" s="29"/>
    </row>
    <row r="311" spans="1:21" s="27" customFormat="1" ht="11.1" customHeight="1" x14ac:dyDescent="0.2">
      <c r="A311" s="14"/>
      <c r="B311" s="14"/>
      <c r="C311" s="14"/>
      <c r="D311" s="71"/>
      <c r="F311" s="84"/>
      <c r="T311" s="28"/>
      <c r="U311" s="29"/>
    </row>
    <row r="312" spans="1:21" s="27" customFormat="1" ht="24.95" customHeight="1" x14ac:dyDescent="0.2">
      <c r="A312" s="14"/>
      <c r="B312" s="383"/>
      <c r="C312" s="14"/>
      <c r="D312" s="71"/>
      <c r="F312" s="84"/>
      <c r="T312" s="28"/>
      <c r="U312" s="29"/>
    </row>
    <row r="313" spans="1:21" s="27" customFormat="1" ht="11.1" customHeight="1" x14ac:dyDescent="0.2">
      <c r="A313" s="14"/>
      <c r="B313" s="14"/>
      <c r="C313" s="14"/>
      <c r="D313" s="71"/>
      <c r="F313" s="84"/>
      <c r="T313" s="28"/>
      <c r="U313" s="29"/>
    </row>
    <row r="314" spans="1:21" s="27" customFormat="1" ht="12" customHeight="1" x14ac:dyDescent="0.2">
      <c r="A314" s="14"/>
      <c r="B314" s="18"/>
      <c r="C314" s="14"/>
      <c r="D314" s="71"/>
      <c r="F314" s="84"/>
      <c r="T314" s="28"/>
      <c r="U314" s="29"/>
    </row>
    <row r="315" spans="1:21" s="27" customFormat="1" ht="11.1" customHeight="1" x14ac:dyDescent="0.2">
      <c r="A315" s="14"/>
      <c r="B315" s="14"/>
      <c r="C315" s="14"/>
      <c r="D315" s="71"/>
      <c r="F315" s="84"/>
      <c r="T315" s="28"/>
      <c r="U315" s="29"/>
    </row>
    <row r="316" spans="1:21" s="27" customFormat="1" ht="12" customHeight="1" x14ac:dyDescent="0.2">
      <c r="A316" s="384"/>
      <c r="B316" s="18"/>
      <c r="C316" s="14"/>
      <c r="D316" s="71"/>
      <c r="F316" s="84"/>
      <c r="T316" s="28"/>
      <c r="U316" s="29"/>
    </row>
    <row r="317" spans="1:21" s="27" customFormat="1" ht="24.95" customHeight="1" x14ac:dyDescent="0.2">
      <c r="A317" s="14"/>
      <c r="B317" s="383"/>
      <c r="C317" s="22"/>
      <c r="D317" s="71"/>
      <c r="F317" s="84"/>
      <c r="T317" s="28"/>
      <c r="U317" s="29"/>
    </row>
    <row r="318" spans="1:21" s="27" customFormat="1" ht="21.95" customHeight="1" x14ac:dyDescent="0.2">
      <c r="A318" s="386"/>
      <c r="B318" s="387"/>
      <c r="C318" s="15"/>
      <c r="D318" s="71"/>
      <c r="F318" s="84"/>
      <c r="T318" s="28"/>
      <c r="U318" s="29"/>
    </row>
    <row r="319" spans="1:21" s="27" customFormat="1" ht="11.1" customHeight="1" x14ac:dyDescent="0.2">
      <c r="A319" s="14"/>
      <c r="B319" s="14"/>
      <c r="C319" s="14"/>
      <c r="D319" s="71"/>
      <c r="F319" s="84"/>
      <c r="T319" s="28"/>
      <c r="U319" s="29"/>
    </row>
    <row r="320" spans="1:21" s="27" customFormat="1" ht="12" customHeight="1" x14ac:dyDescent="0.2">
      <c r="A320" s="14"/>
      <c r="B320" s="18"/>
      <c r="C320" s="14"/>
      <c r="D320" s="71"/>
      <c r="F320" s="84"/>
      <c r="T320" s="28"/>
      <c r="U320" s="29"/>
    </row>
    <row r="321" spans="1:21" s="27" customFormat="1" ht="11.1" customHeight="1" x14ac:dyDescent="0.2">
      <c r="A321" s="14"/>
      <c r="B321" s="14"/>
      <c r="C321" s="14"/>
      <c r="D321" s="71"/>
      <c r="F321" s="84"/>
      <c r="T321" s="28"/>
      <c r="U321" s="29"/>
    </row>
    <row r="322" spans="1:21" s="27" customFormat="1" ht="12" customHeight="1" x14ac:dyDescent="0.2">
      <c r="A322" s="384"/>
      <c r="B322" s="18"/>
      <c r="C322" s="14"/>
      <c r="D322" s="71"/>
      <c r="F322" s="84"/>
      <c r="T322" s="28"/>
      <c r="U322" s="29"/>
    </row>
    <row r="323" spans="1:21" s="27" customFormat="1" ht="24" customHeight="1" x14ac:dyDescent="0.2">
      <c r="A323" s="14"/>
      <c r="B323" s="383"/>
      <c r="C323" s="17"/>
      <c r="D323" s="71"/>
      <c r="F323" s="84"/>
      <c r="T323" s="28"/>
      <c r="U323" s="29"/>
    </row>
    <row r="324" spans="1:21" s="27" customFormat="1" ht="11.1" customHeight="1" x14ac:dyDescent="0.2">
      <c r="A324" s="14"/>
      <c r="B324" s="14"/>
      <c r="C324" s="14"/>
      <c r="D324" s="71"/>
      <c r="F324" s="84"/>
      <c r="T324" s="28"/>
      <c r="U324" s="29"/>
    </row>
    <row r="325" spans="1:21" s="27" customFormat="1" ht="12" customHeight="1" x14ac:dyDescent="0.2">
      <c r="A325" s="389"/>
      <c r="B325" s="385"/>
      <c r="C325" s="14"/>
      <c r="D325" s="71"/>
      <c r="F325" s="84"/>
      <c r="T325" s="28"/>
      <c r="U325" s="29"/>
    </row>
    <row r="326" spans="1:21" s="27" customFormat="1" ht="38.1" customHeight="1" x14ac:dyDescent="0.2">
      <c r="A326" s="14"/>
      <c r="B326" s="383"/>
      <c r="C326" s="14"/>
      <c r="D326" s="71"/>
      <c r="F326" s="84"/>
      <c r="T326" s="28"/>
      <c r="U326" s="29"/>
    </row>
    <row r="327" spans="1:21" s="27" customFormat="1" ht="11.1" customHeight="1" x14ac:dyDescent="0.2">
      <c r="A327" s="14"/>
      <c r="B327" s="14"/>
      <c r="C327" s="14"/>
      <c r="D327" s="71"/>
      <c r="F327" s="84"/>
      <c r="T327" s="28"/>
      <c r="U327" s="29"/>
    </row>
    <row r="328" spans="1:21" s="27" customFormat="1" ht="12" customHeight="1" x14ac:dyDescent="0.2">
      <c r="A328" s="14"/>
      <c r="B328" s="18"/>
      <c r="C328" s="14"/>
      <c r="D328" s="71"/>
      <c r="F328" s="84"/>
      <c r="T328" s="28"/>
      <c r="U328" s="29"/>
    </row>
    <row r="329" spans="1:21" s="27" customFormat="1" ht="11.1" customHeight="1" x14ac:dyDescent="0.2">
      <c r="A329" s="14"/>
      <c r="B329" s="14"/>
      <c r="C329" s="14"/>
      <c r="D329" s="71"/>
      <c r="F329" s="84"/>
      <c r="T329" s="28"/>
      <c r="U329" s="29"/>
    </row>
    <row r="330" spans="1:21" s="27" customFormat="1" ht="12" customHeight="1" x14ac:dyDescent="0.2">
      <c r="A330" s="384"/>
      <c r="B330" s="18"/>
      <c r="C330" s="14"/>
      <c r="D330" s="71"/>
      <c r="F330" s="84"/>
      <c r="T330" s="28"/>
      <c r="U330" s="29"/>
    </row>
    <row r="331" spans="1:21" s="27" customFormat="1" ht="38.1" customHeight="1" x14ac:dyDescent="0.2">
      <c r="A331" s="14"/>
      <c r="B331" s="383"/>
      <c r="C331" s="14"/>
      <c r="D331" s="71"/>
      <c r="F331" s="84"/>
      <c r="T331" s="28"/>
      <c r="U331" s="29"/>
    </row>
    <row r="332" spans="1:21" s="27" customFormat="1" ht="11.1" customHeight="1" x14ac:dyDescent="0.2">
      <c r="A332" s="14"/>
      <c r="B332" s="14"/>
      <c r="C332" s="14"/>
      <c r="D332" s="71"/>
      <c r="F332" s="84"/>
      <c r="T332" s="28"/>
      <c r="U332" s="29"/>
    </row>
    <row r="333" spans="1:21" s="27" customFormat="1" ht="63" customHeight="1" x14ac:dyDescent="0.2">
      <c r="A333" s="14"/>
      <c r="B333" s="383"/>
      <c r="C333" s="14"/>
      <c r="D333" s="71"/>
      <c r="F333" s="84"/>
      <c r="T333" s="28"/>
      <c r="U333" s="29"/>
    </row>
    <row r="334" spans="1:21" s="27" customFormat="1" ht="11.1" customHeight="1" x14ac:dyDescent="0.2">
      <c r="A334" s="14"/>
      <c r="B334" s="14"/>
      <c r="C334" s="14"/>
      <c r="D334" s="71"/>
      <c r="F334" s="84"/>
      <c r="T334" s="28"/>
      <c r="U334" s="29"/>
    </row>
    <row r="335" spans="1:21" s="27" customFormat="1" ht="38.1" customHeight="1" x14ac:dyDescent="0.2">
      <c r="A335" s="14"/>
      <c r="B335" s="383"/>
      <c r="C335" s="14"/>
      <c r="D335" s="71"/>
      <c r="F335" s="84"/>
      <c r="T335" s="28"/>
      <c r="U335" s="29"/>
    </row>
    <row r="336" spans="1:21" s="27" customFormat="1" ht="11.1" customHeight="1" x14ac:dyDescent="0.2">
      <c r="A336" s="14"/>
      <c r="B336" s="14"/>
      <c r="C336" s="14"/>
      <c r="D336" s="71"/>
      <c r="F336" s="84"/>
      <c r="T336" s="28"/>
      <c r="U336" s="29"/>
    </row>
    <row r="337" spans="1:21" s="27" customFormat="1" ht="24.95" customHeight="1" x14ac:dyDescent="0.2">
      <c r="A337" s="14"/>
      <c r="B337" s="383"/>
      <c r="C337" s="14"/>
      <c r="D337" s="71"/>
      <c r="F337" s="84"/>
      <c r="T337" s="28"/>
      <c r="U337" s="29"/>
    </row>
    <row r="338" spans="1:21" s="27" customFormat="1" ht="11.1" customHeight="1" x14ac:dyDescent="0.2">
      <c r="A338" s="14"/>
      <c r="B338" s="14"/>
      <c r="C338" s="14"/>
      <c r="D338" s="71"/>
      <c r="F338" s="84"/>
      <c r="T338" s="28"/>
      <c r="U338" s="29"/>
    </row>
    <row r="339" spans="1:21" s="27" customFormat="1" ht="12" customHeight="1" x14ac:dyDescent="0.2">
      <c r="A339" s="14"/>
      <c r="B339" s="18"/>
      <c r="C339" s="14"/>
      <c r="D339" s="71"/>
      <c r="F339" s="84"/>
      <c r="T339" s="28"/>
      <c r="U339" s="29"/>
    </row>
    <row r="340" spans="1:21" s="27" customFormat="1" ht="21.95" customHeight="1" x14ac:dyDescent="0.2">
      <c r="A340" s="386"/>
      <c r="B340" s="387"/>
      <c r="C340" s="15"/>
      <c r="D340" s="71"/>
      <c r="F340" s="84"/>
      <c r="T340" s="28"/>
      <c r="U340" s="29"/>
    </row>
    <row r="341" spans="1:21" s="27" customFormat="1" ht="11.1" customHeight="1" x14ac:dyDescent="0.2">
      <c r="A341" s="14"/>
      <c r="B341" s="14"/>
      <c r="C341" s="14"/>
      <c r="D341" s="71"/>
      <c r="F341" s="84"/>
      <c r="T341" s="28"/>
      <c r="U341" s="29"/>
    </row>
    <row r="342" spans="1:21" s="27" customFormat="1" ht="12" customHeight="1" x14ac:dyDescent="0.2">
      <c r="A342" s="384"/>
      <c r="B342" s="18"/>
      <c r="C342" s="14"/>
      <c r="D342" s="71"/>
      <c r="F342" s="84"/>
      <c r="T342" s="28"/>
      <c r="U342" s="29"/>
    </row>
    <row r="343" spans="1:21" s="27" customFormat="1" ht="24.95" customHeight="1" x14ac:dyDescent="0.2">
      <c r="A343" s="14"/>
      <c r="B343" s="383"/>
      <c r="C343" s="14"/>
      <c r="D343" s="71"/>
      <c r="F343" s="84"/>
      <c r="T343" s="28"/>
      <c r="U343" s="29"/>
    </row>
    <row r="344" spans="1:21" s="27" customFormat="1" ht="11.1" customHeight="1" x14ac:dyDescent="0.2">
      <c r="A344" s="14"/>
      <c r="B344" s="14"/>
      <c r="C344" s="14"/>
      <c r="D344" s="71"/>
      <c r="F344" s="84"/>
      <c r="T344" s="28"/>
      <c r="U344" s="29"/>
    </row>
    <row r="345" spans="1:21" s="27" customFormat="1" ht="12" customHeight="1" x14ac:dyDescent="0.2">
      <c r="A345" s="14"/>
      <c r="B345" s="18"/>
      <c r="C345" s="14"/>
      <c r="D345" s="71"/>
      <c r="F345" s="84"/>
      <c r="T345" s="28"/>
      <c r="U345" s="29"/>
    </row>
    <row r="346" spans="1:21" s="27" customFormat="1" ht="11.1" customHeight="1" x14ac:dyDescent="0.2">
      <c r="A346" s="14"/>
      <c r="B346" s="14"/>
      <c r="C346" s="14"/>
      <c r="D346" s="71"/>
      <c r="F346" s="84"/>
      <c r="T346" s="28"/>
      <c r="U346" s="29"/>
    </row>
    <row r="347" spans="1:21" s="27" customFormat="1" ht="12" customHeight="1" x14ac:dyDescent="0.2">
      <c r="A347" s="14"/>
      <c r="B347" s="18"/>
      <c r="C347" s="14"/>
      <c r="D347" s="71"/>
      <c r="F347" s="84"/>
      <c r="T347" s="28"/>
      <c r="U347" s="29"/>
    </row>
    <row r="348" spans="1:21" s="27" customFormat="1" ht="12" customHeight="1" x14ac:dyDescent="0.2">
      <c r="A348" s="384"/>
      <c r="B348" s="18"/>
      <c r="C348" s="14"/>
      <c r="D348" s="71"/>
      <c r="F348" s="84"/>
      <c r="T348" s="28"/>
      <c r="U348" s="29"/>
    </row>
    <row r="349" spans="1:21" s="27" customFormat="1" ht="53.1" customHeight="1" x14ac:dyDescent="0.2">
      <c r="A349" s="14"/>
      <c r="B349" s="383"/>
      <c r="C349" s="14"/>
      <c r="D349" s="71"/>
      <c r="F349" s="84"/>
      <c r="T349" s="28"/>
      <c r="U349" s="29"/>
    </row>
    <row r="350" spans="1:21" s="27" customFormat="1" ht="11.1" customHeight="1" x14ac:dyDescent="0.2">
      <c r="A350" s="14"/>
      <c r="B350" s="14"/>
      <c r="C350" s="14"/>
      <c r="D350" s="71"/>
      <c r="F350" s="84"/>
      <c r="T350" s="28"/>
      <c r="U350" s="29"/>
    </row>
    <row r="351" spans="1:21" s="27" customFormat="1" ht="56.1" customHeight="1" x14ac:dyDescent="0.2">
      <c r="A351" s="14"/>
      <c r="B351" s="383"/>
      <c r="C351" s="14"/>
      <c r="D351" s="71"/>
      <c r="F351" s="84"/>
      <c r="T351" s="28"/>
      <c r="U351" s="29"/>
    </row>
    <row r="352" spans="1:21" s="27" customFormat="1" ht="11.1" customHeight="1" x14ac:dyDescent="0.2">
      <c r="A352" s="14"/>
      <c r="B352" s="14"/>
      <c r="C352" s="14"/>
      <c r="D352" s="71"/>
      <c r="F352" s="84"/>
      <c r="T352" s="28"/>
      <c r="U352" s="29"/>
    </row>
    <row r="353" spans="1:21" s="27" customFormat="1" ht="51" customHeight="1" x14ac:dyDescent="0.2">
      <c r="A353" s="14"/>
      <c r="B353" s="383"/>
      <c r="C353" s="14"/>
      <c r="D353" s="71"/>
      <c r="F353" s="84"/>
      <c r="T353" s="28"/>
      <c r="U353" s="29"/>
    </row>
    <row r="354" spans="1:21" s="27" customFormat="1" ht="11.1" customHeight="1" x14ac:dyDescent="0.2">
      <c r="A354" s="14"/>
      <c r="B354" s="14"/>
      <c r="C354" s="14"/>
      <c r="D354" s="71"/>
      <c r="F354" s="84"/>
      <c r="T354" s="28"/>
      <c r="U354" s="29"/>
    </row>
    <row r="355" spans="1:21" s="27" customFormat="1" ht="24.95" customHeight="1" x14ac:dyDescent="0.2">
      <c r="A355" s="14"/>
      <c r="B355" s="383"/>
      <c r="C355" s="14"/>
      <c r="D355" s="71"/>
      <c r="F355" s="84"/>
      <c r="T355" s="28"/>
      <c r="U355" s="29"/>
    </row>
    <row r="356" spans="1:21" s="27" customFormat="1" ht="11.1" customHeight="1" x14ac:dyDescent="0.2">
      <c r="A356" s="14"/>
      <c r="B356" s="14"/>
      <c r="C356" s="14"/>
      <c r="D356" s="71"/>
      <c r="F356" s="84"/>
      <c r="T356" s="28"/>
      <c r="U356" s="29"/>
    </row>
    <row r="357" spans="1:21" s="27" customFormat="1" ht="24.95" customHeight="1" x14ac:dyDescent="0.2">
      <c r="A357" s="14"/>
      <c r="B357" s="383"/>
      <c r="C357" s="14"/>
      <c r="D357" s="71"/>
      <c r="F357" s="84"/>
      <c r="T357" s="28"/>
      <c r="U357" s="29"/>
    </row>
    <row r="358" spans="1:21" s="27" customFormat="1" ht="11.1" customHeight="1" x14ac:dyDescent="0.2">
      <c r="A358" s="14"/>
      <c r="B358" s="14"/>
      <c r="C358" s="14"/>
      <c r="D358" s="71"/>
      <c r="F358" s="84"/>
      <c r="T358" s="28"/>
      <c r="U358" s="29"/>
    </row>
    <row r="359" spans="1:21" s="27" customFormat="1" ht="38.1" customHeight="1" x14ac:dyDescent="0.2">
      <c r="A359" s="14"/>
      <c r="B359" s="383"/>
      <c r="C359" s="14"/>
      <c r="D359" s="71"/>
      <c r="F359" s="84"/>
      <c r="T359" s="28"/>
      <c r="U359" s="29"/>
    </row>
    <row r="360" spans="1:21" s="27" customFormat="1" ht="11.1" customHeight="1" x14ac:dyDescent="0.2">
      <c r="A360" s="14"/>
      <c r="B360" s="14"/>
      <c r="C360" s="14"/>
      <c r="D360" s="71"/>
      <c r="F360" s="84"/>
      <c r="T360" s="28"/>
      <c r="U360" s="29"/>
    </row>
    <row r="361" spans="1:21" s="27" customFormat="1" ht="24.95" customHeight="1" x14ac:dyDescent="0.2">
      <c r="A361" s="14"/>
      <c r="B361" s="383"/>
      <c r="C361" s="14"/>
      <c r="D361" s="71"/>
      <c r="F361" s="84"/>
      <c r="T361" s="28"/>
      <c r="U361" s="29"/>
    </row>
    <row r="362" spans="1:21" s="27" customFormat="1" ht="11.1" customHeight="1" x14ac:dyDescent="0.2">
      <c r="A362" s="14"/>
      <c r="B362" s="14"/>
      <c r="C362" s="14"/>
      <c r="D362" s="71"/>
      <c r="F362" s="84"/>
      <c r="T362" s="28"/>
      <c r="U362" s="29"/>
    </row>
    <row r="363" spans="1:21" s="27" customFormat="1" ht="38.1" customHeight="1" x14ac:dyDescent="0.2">
      <c r="A363" s="14"/>
      <c r="B363" s="383"/>
      <c r="C363" s="14"/>
      <c r="D363" s="71"/>
      <c r="F363" s="84"/>
      <c r="T363" s="28"/>
      <c r="U363" s="29"/>
    </row>
    <row r="364" spans="1:21" s="27" customFormat="1" ht="11.1" customHeight="1" x14ac:dyDescent="0.2">
      <c r="A364" s="14"/>
      <c r="B364" s="14"/>
      <c r="C364" s="14"/>
      <c r="D364" s="71"/>
      <c r="F364" s="84"/>
      <c r="T364" s="28"/>
      <c r="U364" s="29"/>
    </row>
    <row r="365" spans="1:21" s="27" customFormat="1" ht="24.95" customHeight="1" x14ac:dyDescent="0.2">
      <c r="A365" s="14"/>
      <c r="B365" s="383"/>
      <c r="C365" s="14"/>
      <c r="D365" s="71"/>
      <c r="F365" s="84"/>
      <c r="T365" s="28"/>
      <c r="U365" s="29"/>
    </row>
    <row r="366" spans="1:21" s="27" customFormat="1" ht="11.1" customHeight="1" x14ac:dyDescent="0.2">
      <c r="A366" s="14"/>
      <c r="B366" s="14"/>
      <c r="C366" s="14"/>
      <c r="D366" s="71"/>
      <c r="F366" s="84"/>
      <c r="T366" s="28"/>
      <c r="U366" s="29"/>
    </row>
    <row r="367" spans="1:21" s="27" customFormat="1" ht="12" customHeight="1" x14ac:dyDescent="0.2">
      <c r="A367" s="14"/>
      <c r="B367" s="383"/>
      <c r="C367" s="14"/>
      <c r="D367" s="71"/>
      <c r="F367" s="84"/>
      <c r="T367" s="28"/>
      <c r="U367" s="29"/>
    </row>
    <row r="368" spans="1:21" s="27" customFormat="1" ht="11.1" customHeight="1" x14ac:dyDescent="0.2">
      <c r="A368" s="14"/>
      <c r="B368" s="14"/>
      <c r="C368" s="14"/>
      <c r="D368" s="71"/>
      <c r="F368" s="84"/>
      <c r="T368" s="28"/>
      <c r="U368" s="29"/>
    </row>
    <row r="369" spans="1:21" s="27" customFormat="1" ht="24.95" customHeight="1" x14ac:dyDescent="0.2">
      <c r="A369" s="14"/>
      <c r="B369" s="383"/>
      <c r="C369" s="14"/>
      <c r="D369" s="71"/>
      <c r="F369" s="84"/>
      <c r="T369" s="28"/>
      <c r="U369" s="29"/>
    </row>
    <row r="370" spans="1:21" s="27" customFormat="1" ht="11.1" customHeight="1" x14ac:dyDescent="0.2">
      <c r="A370" s="14"/>
      <c r="B370" s="14"/>
      <c r="C370" s="14"/>
      <c r="D370" s="71"/>
      <c r="F370" s="84"/>
      <c r="T370" s="28"/>
      <c r="U370" s="29"/>
    </row>
    <row r="371" spans="1:21" s="27" customFormat="1" ht="24.95" customHeight="1" x14ac:dyDescent="0.2">
      <c r="A371" s="14"/>
      <c r="B371" s="383"/>
      <c r="C371" s="14"/>
      <c r="D371" s="71"/>
      <c r="F371" s="84"/>
      <c r="T371" s="28"/>
      <c r="U371" s="29"/>
    </row>
    <row r="372" spans="1:21" s="27" customFormat="1" ht="21.95" customHeight="1" x14ac:dyDescent="0.2">
      <c r="A372" s="386"/>
      <c r="B372" s="387"/>
      <c r="C372" s="15"/>
      <c r="D372" s="71"/>
      <c r="F372" s="84"/>
      <c r="T372" s="28"/>
      <c r="U372" s="29"/>
    </row>
    <row r="373" spans="1:21" s="27" customFormat="1" ht="11.1" customHeight="1" x14ac:dyDescent="0.2">
      <c r="A373" s="14"/>
      <c r="B373" s="14"/>
      <c r="C373" s="14"/>
      <c r="D373" s="71"/>
      <c r="F373" s="84"/>
      <c r="T373" s="28"/>
      <c r="U373" s="29"/>
    </row>
    <row r="374" spans="1:21" s="27" customFormat="1" ht="24.95" customHeight="1" x14ac:dyDescent="0.2">
      <c r="A374" s="14"/>
      <c r="B374" s="383"/>
      <c r="C374" s="14"/>
      <c r="D374" s="71"/>
      <c r="F374" s="84"/>
      <c r="T374" s="28"/>
      <c r="U374" s="29"/>
    </row>
    <row r="375" spans="1:21" s="27" customFormat="1" ht="11.1" customHeight="1" x14ac:dyDescent="0.2">
      <c r="A375" s="14"/>
      <c r="B375" s="14"/>
      <c r="C375" s="14"/>
      <c r="D375" s="71"/>
      <c r="F375" s="84"/>
      <c r="T375" s="28"/>
      <c r="U375" s="29"/>
    </row>
    <row r="376" spans="1:21" s="27" customFormat="1" ht="50.1" customHeight="1" x14ac:dyDescent="0.2">
      <c r="A376" s="14"/>
      <c r="B376" s="383"/>
      <c r="C376" s="14"/>
      <c r="D376" s="71"/>
      <c r="F376" s="84"/>
      <c r="T376" s="28"/>
      <c r="U376" s="29"/>
    </row>
    <row r="377" spans="1:21" s="27" customFormat="1" ht="11.1" customHeight="1" x14ac:dyDescent="0.2">
      <c r="A377" s="14"/>
      <c r="B377" s="14"/>
      <c r="C377" s="14"/>
      <c r="D377" s="71"/>
      <c r="F377" s="84"/>
      <c r="T377" s="28"/>
      <c r="U377" s="29"/>
    </row>
    <row r="378" spans="1:21" s="27" customFormat="1" ht="24.95" customHeight="1" x14ac:dyDescent="0.2">
      <c r="A378" s="14"/>
      <c r="B378" s="383"/>
      <c r="C378" s="14"/>
      <c r="D378" s="71"/>
      <c r="F378" s="84"/>
      <c r="T378" s="28"/>
      <c r="U378" s="29"/>
    </row>
    <row r="379" spans="1:21" s="27" customFormat="1" ht="11.1" customHeight="1" x14ac:dyDescent="0.2">
      <c r="A379" s="14"/>
      <c r="B379" s="14"/>
      <c r="C379" s="14"/>
      <c r="D379" s="71"/>
      <c r="F379" s="84"/>
      <c r="T379" s="28"/>
      <c r="U379" s="29"/>
    </row>
    <row r="380" spans="1:21" s="27" customFormat="1" ht="12" customHeight="1" x14ac:dyDescent="0.2">
      <c r="A380" s="14"/>
      <c r="B380" s="18"/>
      <c r="C380" s="14"/>
      <c r="D380" s="71"/>
      <c r="F380" s="84"/>
      <c r="T380" s="28"/>
      <c r="U380" s="29"/>
    </row>
    <row r="381" spans="1:21" s="27" customFormat="1" ht="11.1" customHeight="1" x14ac:dyDescent="0.2">
      <c r="A381" s="14"/>
      <c r="B381" s="14"/>
      <c r="C381" s="14"/>
      <c r="D381" s="71"/>
      <c r="F381" s="84"/>
      <c r="T381" s="28"/>
      <c r="U381" s="29"/>
    </row>
    <row r="382" spans="1:21" s="27" customFormat="1" ht="12" customHeight="1" x14ac:dyDescent="0.2">
      <c r="A382" s="384"/>
      <c r="B382" s="18"/>
      <c r="C382" s="14"/>
      <c r="D382" s="71"/>
      <c r="F382" s="84"/>
      <c r="T382" s="28"/>
      <c r="U382" s="29"/>
    </row>
    <row r="383" spans="1:21" s="27" customFormat="1" ht="12" customHeight="1" x14ac:dyDescent="0.2">
      <c r="A383" s="384"/>
      <c r="B383" s="385"/>
      <c r="C383" s="14"/>
      <c r="D383" s="71"/>
      <c r="F383" s="84"/>
      <c r="T383" s="28"/>
      <c r="U383" s="29"/>
    </row>
    <row r="384" spans="1:21" s="27" customFormat="1" ht="75.95" customHeight="1" x14ac:dyDescent="0.2">
      <c r="A384" s="14"/>
      <c r="B384" s="383"/>
      <c r="C384" s="14"/>
      <c r="D384" s="71"/>
      <c r="F384" s="84"/>
      <c r="T384" s="28"/>
      <c r="U384" s="29"/>
    </row>
    <row r="385" spans="1:21" s="27" customFormat="1" ht="11.1" customHeight="1" x14ac:dyDescent="0.2">
      <c r="A385" s="14"/>
      <c r="B385" s="14"/>
      <c r="C385" s="14"/>
      <c r="D385" s="71"/>
      <c r="F385" s="84"/>
      <c r="T385" s="28"/>
      <c r="U385" s="29"/>
    </row>
    <row r="386" spans="1:21" s="27" customFormat="1" ht="12" customHeight="1" x14ac:dyDescent="0.2">
      <c r="A386" s="384"/>
      <c r="B386" s="385"/>
      <c r="C386" s="14"/>
      <c r="D386" s="71"/>
      <c r="F386" s="84"/>
      <c r="T386" s="28"/>
      <c r="U386" s="29"/>
    </row>
    <row r="387" spans="1:21" s="27" customFormat="1" ht="63" customHeight="1" x14ac:dyDescent="0.2">
      <c r="A387" s="14"/>
      <c r="B387" s="14"/>
      <c r="C387" s="14"/>
      <c r="D387" s="71"/>
      <c r="F387" s="84"/>
      <c r="T387" s="28"/>
      <c r="U387" s="29"/>
    </row>
    <row r="388" spans="1:21" s="27" customFormat="1" ht="11.1" customHeight="1" x14ac:dyDescent="0.2">
      <c r="A388" s="14"/>
      <c r="B388" s="14"/>
      <c r="C388" s="14"/>
      <c r="D388" s="71"/>
      <c r="F388" s="84"/>
      <c r="T388" s="28"/>
      <c r="U388" s="29"/>
    </row>
    <row r="389" spans="1:21" s="27" customFormat="1" ht="21.95" customHeight="1" x14ac:dyDescent="0.2">
      <c r="A389" s="386"/>
      <c r="B389" s="387"/>
      <c r="C389" s="15"/>
      <c r="D389" s="71"/>
      <c r="F389" s="84"/>
      <c r="T389" s="28"/>
      <c r="U389" s="29"/>
    </row>
    <row r="390" spans="1:21" s="27" customFormat="1" ht="12" customHeight="1" x14ac:dyDescent="0.2">
      <c r="A390" s="384"/>
      <c r="B390" s="385"/>
      <c r="C390" s="14"/>
      <c r="D390" s="71"/>
      <c r="F390" s="84"/>
      <c r="T390" s="28"/>
      <c r="U390" s="29"/>
    </row>
    <row r="391" spans="1:21" s="27" customFormat="1" ht="24.95" customHeight="1" x14ac:dyDescent="0.2">
      <c r="A391" s="14"/>
      <c r="B391" s="383"/>
      <c r="C391" s="14"/>
      <c r="D391" s="71"/>
      <c r="F391" s="84"/>
      <c r="T391" s="28"/>
      <c r="U391" s="29"/>
    </row>
    <row r="392" spans="1:21" s="27" customFormat="1" ht="11.1" customHeight="1" x14ac:dyDescent="0.2">
      <c r="A392" s="14"/>
      <c r="B392" s="14"/>
      <c r="C392" s="14"/>
      <c r="D392" s="71"/>
      <c r="F392" s="84"/>
      <c r="T392" s="28"/>
      <c r="U392" s="29"/>
    </row>
    <row r="393" spans="1:21" s="27" customFormat="1" ht="24.95" customHeight="1" x14ac:dyDescent="0.2">
      <c r="A393" s="14"/>
      <c r="B393" s="383"/>
      <c r="C393" s="14"/>
      <c r="D393" s="71"/>
      <c r="F393" s="84"/>
      <c r="T393" s="28"/>
      <c r="U393" s="29"/>
    </row>
    <row r="394" spans="1:21" s="27" customFormat="1" ht="11.1" customHeight="1" x14ac:dyDescent="0.2">
      <c r="A394" s="14"/>
      <c r="B394" s="14"/>
      <c r="C394" s="14"/>
      <c r="D394" s="71"/>
      <c r="F394" s="84"/>
      <c r="T394" s="28"/>
      <c r="U394" s="29"/>
    </row>
    <row r="395" spans="1:21" s="27" customFormat="1" ht="24.95" customHeight="1" x14ac:dyDescent="0.2">
      <c r="A395" s="14"/>
      <c r="B395" s="383"/>
      <c r="C395" s="14"/>
      <c r="D395" s="71"/>
      <c r="F395" s="84"/>
      <c r="T395" s="28"/>
      <c r="U395" s="29"/>
    </row>
    <row r="396" spans="1:21" s="27" customFormat="1" ht="11.1" customHeight="1" x14ac:dyDescent="0.2">
      <c r="A396" s="14"/>
      <c r="B396" s="14"/>
      <c r="C396" s="14"/>
      <c r="D396" s="71"/>
      <c r="F396" s="84"/>
      <c r="T396" s="28"/>
      <c r="U396" s="29"/>
    </row>
    <row r="397" spans="1:21" s="27" customFormat="1" ht="12" customHeight="1" x14ac:dyDescent="0.2">
      <c r="A397" s="384"/>
      <c r="B397" s="385"/>
      <c r="C397" s="14"/>
      <c r="D397" s="71"/>
      <c r="F397" s="84"/>
      <c r="T397" s="28"/>
      <c r="U397" s="29"/>
    </row>
    <row r="398" spans="1:21" s="27" customFormat="1" ht="89.1" customHeight="1" x14ac:dyDescent="0.2">
      <c r="A398" s="14"/>
      <c r="B398" s="383"/>
      <c r="C398" s="14"/>
      <c r="D398" s="71"/>
      <c r="F398" s="84"/>
      <c r="T398" s="28"/>
      <c r="U398" s="29"/>
    </row>
    <row r="399" spans="1:21" s="27" customFormat="1" ht="11.1" customHeight="1" x14ac:dyDescent="0.2">
      <c r="A399" s="14"/>
      <c r="B399" s="14"/>
      <c r="C399" s="14"/>
      <c r="D399" s="71"/>
      <c r="F399" s="84"/>
      <c r="T399" s="28"/>
      <c r="U399" s="29"/>
    </row>
    <row r="400" spans="1:21" s="27" customFormat="1" ht="35.1" customHeight="1" x14ac:dyDescent="0.2">
      <c r="A400" s="14"/>
      <c r="B400" s="14"/>
      <c r="C400" s="14"/>
      <c r="D400" s="71"/>
      <c r="F400" s="84"/>
      <c r="T400" s="28"/>
      <c r="U400" s="29"/>
    </row>
    <row r="401" spans="1:21" s="27" customFormat="1" ht="11.1" customHeight="1" x14ac:dyDescent="0.2">
      <c r="A401" s="14"/>
      <c r="B401" s="14"/>
      <c r="C401" s="14"/>
      <c r="D401" s="71"/>
      <c r="F401" s="84"/>
      <c r="T401" s="28"/>
      <c r="U401" s="29"/>
    </row>
    <row r="402" spans="1:21" s="27" customFormat="1" ht="51" customHeight="1" x14ac:dyDescent="0.2">
      <c r="A402" s="14"/>
      <c r="B402" s="383"/>
      <c r="C402" s="14"/>
      <c r="D402" s="71"/>
      <c r="F402" s="84"/>
      <c r="T402" s="28"/>
      <c r="U402" s="29"/>
    </row>
    <row r="403" spans="1:21" s="27" customFormat="1" ht="11.1" customHeight="1" x14ac:dyDescent="0.2">
      <c r="A403" s="14"/>
      <c r="B403" s="14"/>
      <c r="C403" s="14"/>
      <c r="D403" s="71"/>
      <c r="F403" s="84"/>
      <c r="T403" s="28"/>
      <c r="U403" s="29"/>
    </row>
    <row r="404" spans="1:21" s="27" customFormat="1" ht="24.95" customHeight="1" x14ac:dyDescent="0.2">
      <c r="A404" s="14"/>
      <c r="B404" s="383"/>
      <c r="C404" s="14"/>
      <c r="D404" s="71"/>
      <c r="F404" s="84"/>
      <c r="T404" s="28"/>
      <c r="U404" s="29"/>
    </row>
    <row r="405" spans="1:21" s="27" customFormat="1" ht="11.1" customHeight="1" x14ac:dyDescent="0.2">
      <c r="A405" s="14"/>
      <c r="B405" s="14"/>
      <c r="C405" s="14"/>
      <c r="D405" s="71"/>
      <c r="F405" s="84"/>
      <c r="T405" s="28"/>
      <c r="U405" s="29"/>
    </row>
    <row r="406" spans="1:21" s="27" customFormat="1" ht="12" customHeight="1" x14ac:dyDescent="0.2">
      <c r="A406" s="14"/>
      <c r="B406" s="18"/>
      <c r="C406" s="14"/>
      <c r="D406" s="71"/>
      <c r="F406" s="84"/>
      <c r="T406" s="28"/>
      <c r="U406" s="29"/>
    </row>
    <row r="407" spans="1:21" s="27" customFormat="1" ht="11.1" customHeight="1" x14ac:dyDescent="0.2">
      <c r="A407" s="14"/>
      <c r="B407" s="14"/>
      <c r="C407" s="14"/>
      <c r="D407" s="71"/>
      <c r="F407" s="84"/>
      <c r="T407" s="28"/>
      <c r="U407" s="29"/>
    </row>
    <row r="408" spans="1:21" s="27" customFormat="1" ht="12" customHeight="1" x14ac:dyDescent="0.2">
      <c r="A408" s="384"/>
      <c r="B408" s="18"/>
      <c r="C408" s="14"/>
      <c r="D408" s="71"/>
      <c r="F408" s="84"/>
      <c r="T408" s="28"/>
      <c r="U408" s="29"/>
    </row>
    <row r="409" spans="1:21" s="27" customFormat="1" ht="12" customHeight="1" x14ac:dyDescent="0.2">
      <c r="A409" s="384"/>
      <c r="B409" s="385"/>
      <c r="C409" s="14"/>
      <c r="D409" s="71"/>
      <c r="F409" s="84"/>
      <c r="T409" s="28"/>
      <c r="U409" s="29"/>
    </row>
    <row r="410" spans="1:21" s="27" customFormat="1" ht="24.95" customHeight="1" x14ac:dyDescent="0.2">
      <c r="A410" s="14"/>
      <c r="B410" s="383"/>
      <c r="C410" s="14"/>
      <c r="D410" s="71"/>
      <c r="F410" s="84"/>
      <c r="T410" s="28"/>
      <c r="U410" s="29"/>
    </row>
    <row r="411" spans="1:21" s="27" customFormat="1" ht="11.1" customHeight="1" x14ac:dyDescent="0.2">
      <c r="A411" s="14"/>
      <c r="B411" s="14"/>
      <c r="C411" s="14"/>
      <c r="D411" s="71"/>
      <c r="F411" s="84"/>
      <c r="T411" s="28"/>
      <c r="U411" s="29"/>
    </row>
    <row r="412" spans="1:21" s="27" customFormat="1" ht="24.95" customHeight="1" x14ac:dyDescent="0.2">
      <c r="A412" s="14"/>
      <c r="B412" s="383"/>
      <c r="C412" s="14"/>
      <c r="D412" s="71"/>
      <c r="F412" s="84"/>
      <c r="T412" s="28"/>
      <c r="U412" s="29"/>
    </row>
    <row r="413" spans="1:21" s="27" customFormat="1" ht="11.1" customHeight="1" x14ac:dyDescent="0.2">
      <c r="A413" s="14"/>
      <c r="B413" s="14"/>
      <c r="C413" s="14"/>
      <c r="D413" s="71"/>
      <c r="F413" s="84"/>
      <c r="T413" s="28"/>
      <c r="U413" s="29"/>
    </row>
    <row r="414" spans="1:21" s="27" customFormat="1" ht="12" customHeight="1" x14ac:dyDescent="0.2">
      <c r="A414" s="384"/>
      <c r="B414" s="385"/>
      <c r="C414" s="14"/>
      <c r="D414" s="71"/>
      <c r="F414" s="84"/>
      <c r="T414" s="28"/>
      <c r="U414" s="29"/>
    </row>
    <row r="415" spans="1:21" s="27" customFormat="1" ht="38.1" customHeight="1" x14ac:dyDescent="0.2">
      <c r="A415" s="14"/>
      <c r="B415" s="383"/>
      <c r="C415" s="14"/>
      <c r="D415" s="71"/>
      <c r="F415" s="84"/>
      <c r="T415" s="28"/>
      <c r="U415" s="29"/>
    </row>
    <row r="416" spans="1:21" s="27" customFormat="1" ht="21.95" customHeight="1" x14ac:dyDescent="0.2">
      <c r="A416" s="386"/>
      <c r="B416" s="387"/>
      <c r="C416" s="15"/>
      <c r="D416" s="71"/>
      <c r="F416" s="84"/>
      <c r="T416" s="28"/>
      <c r="U416" s="29"/>
    </row>
    <row r="417" spans="1:21" s="27" customFormat="1" ht="11.1" customHeight="1" x14ac:dyDescent="0.2">
      <c r="A417" s="14"/>
      <c r="B417" s="14"/>
      <c r="C417" s="14"/>
      <c r="D417" s="71"/>
      <c r="F417" s="84"/>
      <c r="T417" s="28"/>
      <c r="U417" s="29"/>
    </row>
    <row r="418" spans="1:21" s="27" customFormat="1" ht="12" customHeight="1" x14ac:dyDescent="0.2">
      <c r="A418" s="384"/>
      <c r="B418" s="385"/>
      <c r="C418" s="14"/>
      <c r="D418" s="71"/>
      <c r="F418" s="84"/>
      <c r="T418" s="28"/>
      <c r="U418" s="29"/>
    </row>
    <row r="419" spans="1:21" s="27" customFormat="1" ht="36.950000000000003" customHeight="1" x14ac:dyDescent="0.2">
      <c r="A419" s="14"/>
      <c r="B419" s="383"/>
      <c r="C419" s="14"/>
      <c r="D419" s="71"/>
      <c r="F419" s="84"/>
      <c r="T419" s="28"/>
      <c r="U419" s="29"/>
    </row>
    <row r="420" spans="1:21" s="27" customFormat="1" ht="11.1" customHeight="1" x14ac:dyDescent="0.2">
      <c r="A420" s="14"/>
      <c r="B420" s="14"/>
      <c r="C420" s="14"/>
      <c r="D420" s="71"/>
      <c r="F420" s="84"/>
      <c r="T420" s="28"/>
      <c r="U420" s="29"/>
    </row>
    <row r="421" spans="1:21" s="27" customFormat="1" ht="89.1" customHeight="1" x14ac:dyDescent="0.2">
      <c r="A421" s="14"/>
      <c r="B421" s="14"/>
      <c r="C421" s="14"/>
      <c r="D421" s="71"/>
      <c r="F421" s="84"/>
      <c r="T421" s="28"/>
      <c r="U421" s="29"/>
    </row>
    <row r="422" spans="1:21" s="27" customFormat="1" ht="11.1" customHeight="1" x14ac:dyDescent="0.2">
      <c r="A422" s="14"/>
      <c r="B422" s="14"/>
      <c r="C422" s="14"/>
      <c r="D422" s="71"/>
      <c r="F422" s="84"/>
      <c r="T422" s="28"/>
      <c r="U422" s="29"/>
    </row>
    <row r="423" spans="1:21" s="27" customFormat="1" ht="12" customHeight="1" x14ac:dyDescent="0.2">
      <c r="A423" s="14"/>
      <c r="B423" s="18"/>
      <c r="C423" s="14"/>
      <c r="D423" s="71"/>
      <c r="F423" s="84"/>
      <c r="T423" s="28"/>
      <c r="U423" s="29"/>
    </row>
    <row r="424" spans="1:21" s="27" customFormat="1" ht="11.1" customHeight="1" x14ac:dyDescent="0.2">
      <c r="A424" s="14"/>
      <c r="B424" s="14"/>
      <c r="C424" s="14"/>
      <c r="D424" s="71"/>
      <c r="F424" s="84"/>
      <c r="T424" s="28"/>
      <c r="U424" s="29"/>
    </row>
    <row r="425" spans="1:21" s="27" customFormat="1" ht="12" customHeight="1" x14ac:dyDescent="0.2">
      <c r="A425" s="384"/>
      <c r="B425" s="18"/>
      <c r="C425" s="14"/>
      <c r="D425" s="71"/>
      <c r="F425" s="84"/>
      <c r="T425" s="28"/>
      <c r="U425" s="29"/>
    </row>
    <row r="426" spans="1:21" s="27" customFormat="1" ht="12" customHeight="1" x14ac:dyDescent="0.2">
      <c r="A426" s="384"/>
      <c r="B426" s="385"/>
      <c r="C426" s="14"/>
      <c r="D426" s="71"/>
      <c r="F426" s="84"/>
      <c r="T426" s="28"/>
      <c r="U426" s="29"/>
    </row>
    <row r="427" spans="1:21" s="27" customFormat="1" ht="63" customHeight="1" x14ac:dyDescent="0.2">
      <c r="A427" s="14"/>
      <c r="B427" s="383"/>
      <c r="C427" s="14"/>
      <c r="D427" s="71"/>
      <c r="F427" s="84"/>
      <c r="T427" s="28"/>
      <c r="U427" s="29"/>
    </row>
    <row r="428" spans="1:21" s="27" customFormat="1" ht="11.1" customHeight="1" x14ac:dyDescent="0.2">
      <c r="A428" s="14"/>
      <c r="B428" s="14"/>
      <c r="C428" s="14"/>
      <c r="D428" s="71"/>
      <c r="F428" s="84"/>
      <c r="T428" s="28"/>
      <c r="U428" s="29"/>
    </row>
    <row r="429" spans="1:21" s="27" customFormat="1" ht="38.1" customHeight="1" x14ac:dyDescent="0.2">
      <c r="A429" s="14"/>
      <c r="B429" s="383"/>
      <c r="C429" s="14"/>
      <c r="D429" s="71"/>
      <c r="F429" s="84"/>
      <c r="T429" s="28"/>
      <c r="U429" s="29"/>
    </row>
    <row r="430" spans="1:21" s="27" customFormat="1" ht="11.1" customHeight="1" x14ac:dyDescent="0.2">
      <c r="A430" s="14"/>
      <c r="B430" s="14"/>
      <c r="C430" s="14"/>
      <c r="D430" s="71"/>
      <c r="F430" s="84"/>
      <c r="T430" s="28"/>
      <c r="U430" s="29"/>
    </row>
    <row r="431" spans="1:21" s="27" customFormat="1" ht="38.1" customHeight="1" x14ac:dyDescent="0.2">
      <c r="A431" s="14"/>
      <c r="B431" s="383"/>
      <c r="C431" s="14"/>
      <c r="D431" s="71"/>
      <c r="F431" s="84"/>
      <c r="T431" s="28"/>
      <c r="U431" s="29"/>
    </row>
    <row r="432" spans="1:21" s="27" customFormat="1" ht="11.1" customHeight="1" x14ac:dyDescent="0.2">
      <c r="A432" s="14"/>
      <c r="B432" s="14"/>
      <c r="C432" s="14"/>
      <c r="D432" s="71"/>
      <c r="F432" s="84"/>
      <c r="T432" s="28"/>
      <c r="U432" s="29"/>
    </row>
    <row r="433" spans="1:21" s="27" customFormat="1" ht="38.1" customHeight="1" x14ac:dyDescent="0.2">
      <c r="A433" s="14"/>
      <c r="B433" s="383"/>
      <c r="C433" s="14"/>
      <c r="D433" s="71"/>
      <c r="F433" s="84"/>
      <c r="T433" s="28"/>
      <c r="U433" s="29"/>
    </row>
    <row r="434" spans="1:21" s="27" customFormat="1" ht="11.1" customHeight="1" x14ac:dyDescent="0.2">
      <c r="A434" s="14"/>
      <c r="B434" s="14"/>
      <c r="C434" s="14"/>
      <c r="D434" s="71"/>
      <c r="F434" s="84"/>
      <c r="T434" s="28"/>
      <c r="U434" s="29"/>
    </row>
    <row r="435" spans="1:21" s="27" customFormat="1" ht="24.95" customHeight="1" x14ac:dyDescent="0.2">
      <c r="A435" s="14"/>
      <c r="B435" s="383"/>
      <c r="C435" s="14"/>
      <c r="D435" s="71"/>
      <c r="F435" s="84"/>
      <c r="T435" s="28"/>
      <c r="U435" s="29"/>
    </row>
    <row r="436" spans="1:21" s="27" customFormat="1" ht="11.1" customHeight="1" x14ac:dyDescent="0.2">
      <c r="A436" s="14"/>
      <c r="B436" s="14"/>
      <c r="C436" s="14"/>
      <c r="D436" s="71"/>
      <c r="F436" s="84"/>
      <c r="T436" s="28"/>
      <c r="U436" s="29"/>
    </row>
    <row r="437" spans="1:21" s="27" customFormat="1" ht="24.95" customHeight="1" x14ac:dyDescent="0.2">
      <c r="A437" s="14"/>
      <c r="B437" s="383"/>
      <c r="C437" s="14"/>
      <c r="D437" s="71"/>
      <c r="F437" s="84"/>
      <c r="T437" s="28"/>
      <c r="U437" s="29"/>
    </row>
    <row r="438" spans="1:21" s="27" customFormat="1" ht="11.1" customHeight="1" x14ac:dyDescent="0.2">
      <c r="A438" s="14"/>
      <c r="B438" s="14"/>
      <c r="C438" s="14"/>
      <c r="D438" s="71"/>
      <c r="F438" s="84"/>
      <c r="T438" s="28"/>
      <c r="U438" s="29"/>
    </row>
    <row r="439" spans="1:21" s="27" customFormat="1" ht="63" customHeight="1" x14ac:dyDescent="0.2">
      <c r="A439" s="14"/>
      <c r="B439" s="383"/>
      <c r="C439" s="14"/>
      <c r="D439" s="71"/>
      <c r="F439" s="84"/>
      <c r="T439" s="28"/>
      <c r="U439" s="29"/>
    </row>
    <row r="440" spans="1:21" s="27" customFormat="1" ht="11.1" customHeight="1" x14ac:dyDescent="0.2">
      <c r="A440" s="14"/>
      <c r="B440" s="14"/>
      <c r="C440" s="14"/>
      <c r="D440" s="71"/>
      <c r="F440" s="84"/>
      <c r="T440" s="28"/>
      <c r="U440" s="29"/>
    </row>
    <row r="441" spans="1:21" s="27" customFormat="1" ht="11.1" customHeight="1" x14ac:dyDescent="0.2">
      <c r="A441" s="384"/>
      <c r="B441" s="385"/>
      <c r="C441" s="14"/>
      <c r="D441" s="71"/>
      <c r="F441" s="84"/>
      <c r="T441" s="28"/>
      <c r="U441" s="29"/>
    </row>
    <row r="442" spans="1:21" s="27" customFormat="1" ht="21.95" customHeight="1" x14ac:dyDescent="0.2">
      <c r="A442" s="386"/>
      <c r="B442" s="387"/>
      <c r="C442" s="15"/>
      <c r="D442" s="71"/>
      <c r="F442" s="84"/>
      <c r="T442" s="28"/>
      <c r="U442" s="29"/>
    </row>
    <row r="443" spans="1:21" s="27" customFormat="1" ht="54" customHeight="1" x14ac:dyDescent="0.2">
      <c r="A443" s="14"/>
      <c r="B443" s="14"/>
      <c r="C443" s="14"/>
      <c r="D443" s="71"/>
      <c r="F443" s="84"/>
      <c r="T443" s="28"/>
      <c r="U443" s="29"/>
    </row>
    <row r="444" spans="1:21" s="27" customFormat="1" ht="11.1" customHeight="1" x14ac:dyDescent="0.2">
      <c r="A444" s="14"/>
      <c r="B444" s="14"/>
      <c r="C444" s="14"/>
      <c r="D444" s="71"/>
      <c r="F444" s="84"/>
      <c r="T444" s="28"/>
      <c r="U444" s="29"/>
    </row>
    <row r="445" spans="1:21" s="27" customFormat="1" ht="24.95" customHeight="1" x14ac:dyDescent="0.2">
      <c r="A445" s="14"/>
      <c r="B445" s="383"/>
      <c r="C445" s="14"/>
      <c r="D445" s="71"/>
      <c r="F445" s="84"/>
      <c r="T445" s="28"/>
      <c r="U445" s="29"/>
    </row>
    <row r="446" spans="1:21" s="27" customFormat="1" ht="11.1" customHeight="1" x14ac:dyDescent="0.2">
      <c r="A446" s="14"/>
      <c r="B446" s="14"/>
      <c r="C446" s="14"/>
      <c r="D446" s="71"/>
      <c r="F446" s="84"/>
      <c r="T446" s="28"/>
      <c r="U446" s="29"/>
    </row>
    <row r="447" spans="1:21" s="27" customFormat="1" ht="12" customHeight="1" x14ac:dyDescent="0.2">
      <c r="A447" s="384"/>
      <c r="B447" s="385"/>
      <c r="C447" s="14"/>
      <c r="D447" s="71"/>
      <c r="F447" s="84"/>
      <c r="T447" s="28"/>
      <c r="U447" s="29"/>
    </row>
    <row r="448" spans="1:21" s="27" customFormat="1" ht="38.1" customHeight="1" x14ac:dyDescent="0.2">
      <c r="A448" s="14"/>
      <c r="B448" s="383"/>
      <c r="C448" s="14"/>
      <c r="D448" s="71"/>
      <c r="F448" s="84"/>
      <c r="T448" s="28"/>
      <c r="U448" s="29"/>
    </row>
    <row r="449" spans="1:21" s="27" customFormat="1" ht="11.1" customHeight="1" x14ac:dyDescent="0.2">
      <c r="A449" s="14"/>
      <c r="B449" s="14"/>
      <c r="C449" s="14"/>
      <c r="D449" s="71"/>
      <c r="F449" s="84"/>
      <c r="T449" s="28"/>
      <c r="U449" s="29"/>
    </row>
    <row r="450" spans="1:21" s="27" customFormat="1" ht="24.95" customHeight="1" x14ac:dyDescent="0.2">
      <c r="A450" s="14"/>
      <c r="B450" s="383"/>
      <c r="C450" s="14"/>
      <c r="D450" s="71"/>
      <c r="F450" s="84"/>
      <c r="T450" s="28"/>
      <c r="U450" s="29"/>
    </row>
    <row r="451" spans="1:21" s="27" customFormat="1" ht="11.1" customHeight="1" x14ac:dyDescent="0.2">
      <c r="A451" s="14"/>
      <c r="B451" s="14"/>
      <c r="C451" s="14"/>
      <c r="D451" s="71"/>
      <c r="F451" s="84"/>
      <c r="T451" s="28"/>
      <c r="U451" s="29"/>
    </row>
    <row r="452" spans="1:21" s="27" customFormat="1" ht="12" customHeight="1" x14ac:dyDescent="0.2">
      <c r="A452" s="384"/>
      <c r="B452" s="385"/>
      <c r="C452" s="14"/>
      <c r="D452" s="71"/>
      <c r="F452" s="84"/>
      <c r="T452" s="28"/>
      <c r="U452" s="29"/>
    </row>
    <row r="453" spans="1:21" s="27" customFormat="1" ht="38.1" customHeight="1" x14ac:dyDescent="0.2">
      <c r="A453" s="14"/>
      <c r="B453" s="383"/>
      <c r="C453" s="14"/>
      <c r="D453" s="71"/>
      <c r="F453" s="84"/>
      <c r="T453" s="28"/>
      <c r="U453" s="29"/>
    </row>
    <row r="454" spans="1:21" s="27" customFormat="1" ht="11.1" customHeight="1" x14ac:dyDescent="0.2">
      <c r="A454" s="14"/>
      <c r="B454" s="14"/>
      <c r="C454" s="14"/>
      <c r="D454" s="71"/>
      <c r="F454" s="84"/>
      <c r="T454" s="28"/>
      <c r="U454" s="29"/>
    </row>
    <row r="455" spans="1:21" s="27" customFormat="1" ht="24.95" customHeight="1" x14ac:dyDescent="0.2">
      <c r="A455" s="14"/>
      <c r="B455" s="383"/>
      <c r="C455" s="14"/>
      <c r="D455" s="71"/>
      <c r="F455" s="84"/>
      <c r="T455" s="28"/>
      <c r="U455" s="29"/>
    </row>
    <row r="456" spans="1:21" s="27" customFormat="1" ht="11.1" customHeight="1" x14ac:dyDescent="0.2">
      <c r="A456" s="14"/>
      <c r="B456" s="14"/>
      <c r="C456" s="14"/>
      <c r="D456" s="71"/>
      <c r="F456" s="84"/>
      <c r="T456" s="28"/>
      <c r="U456" s="29"/>
    </row>
    <row r="457" spans="1:21" s="27" customFormat="1" ht="12" customHeight="1" x14ac:dyDescent="0.2">
      <c r="A457" s="384"/>
      <c r="B457" s="385"/>
      <c r="C457" s="14"/>
      <c r="D457" s="71"/>
      <c r="F457" s="84"/>
      <c r="T457" s="28"/>
      <c r="U457" s="29"/>
    </row>
    <row r="458" spans="1:21" s="27" customFormat="1" ht="89.1" customHeight="1" x14ac:dyDescent="0.2">
      <c r="A458" s="14"/>
      <c r="B458" s="383"/>
      <c r="C458" s="14"/>
      <c r="D458" s="71"/>
      <c r="F458" s="84"/>
      <c r="T458" s="28"/>
      <c r="U458" s="29"/>
    </row>
    <row r="459" spans="1:21" s="27" customFormat="1" ht="11.1" customHeight="1" x14ac:dyDescent="0.2">
      <c r="A459" s="14"/>
      <c r="B459" s="14"/>
      <c r="C459" s="14"/>
      <c r="D459" s="71"/>
      <c r="F459" s="84"/>
      <c r="T459" s="28"/>
      <c r="U459" s="29"/>
    </row>
    <row r="460" spans="1:21" s="27" customFormat="1" ht="12" customHeight="1" x14ac:dyDescent="0.2">
      <c r="A460" s="14"/>
      <c r="B460" s="383"/>
      <c r="C460" s="14"/>
      <c r="D460" s="71"/>
      <c r="F460" s="84"/>
      <c r="T460" s="28"/>
      <c r="U460" s="29"/>
    </row>
    <row r="461" spans="1:21" s="27" customFormat="1" ht="11.1" customHeight="1" x14ac:dyDescent="0.2">
      <c r="A461" s="14"/>
      <c r="B461" s="14"/>
      <c r="C461" s="14"/>
      <c r="D461" s="71"/>
      <c r="F461" s="84"/>
      <c r="T461" s="28"/>
      <c r="U461" s="29"/>
    </row>
    <row r="462" spans="1:21" s="27" customFormat="1" ht="24.95" customHeight="1" x14ac:dyDescent="0.2">
      <c r="A462" s="14"/>
      <c r="B462" s="383"/>
      <c r="C462" s="14"/>
      <c r="D462" s="71"/>
      <c r="F462" s="84"/>
      <c r="T462" s="28"/>
      <c r="U462" s="29"/>
    </row>
    <row r="463" spans="1:21" s="27" customFormat="1" ht="11.1" customHeight="1" x14ac:dyDescent="0.2">
      <c r="A463" s="14"/>
      <c r="B463" s="14"/>
      <c r="C463" s="14"/>
      <c r="D463" s="71"/>
      <c r="F463" s="84"/>
      <c r="T463" s="28"/>
      <c r="U463" s="29"/>
    </row>
    <row r="464" spans="1:21" s="27" customFormat="1" ht="24.95" customHeight="1" x14ac:dyDescent="0.2">
      <c r="A464" s="14"/>
      <c r="B464" s="383"/>
      <c r="C464" s="14"/>
      <c r="D464" s="71"/>
      <c r="F464" s="84"/>
      <c r="T464" s="28"/>
      <c r="U464" s="29"/>
    </row>
    <row r="465" spans="1:21" s="27" customFormat="1" ht="11.1" customHeight="1" x14ac:dyDescent="0.2">
      <c r="A465" s="14"/>
      <c r="B465" s="14"/>
      <c r="C465" s="14"/>
      <c r="D465" s="71"/>
      <c r="F465" s="84"/>
      <c r="T465" s="28"/>
      <c r="U465" s="29"/>
    </row>
    <row r="466" spans="1:21" s="27" customFormat="1" ht="12" customHeight="1" x14ac:dyDescent="0.2">
      <c r="A466" s="14"/>
      <c r="B466" s="18"/>
      <c r="C466" s="14"/>
      <c r="D466" s="71"/>
      <c r="F466" s="84"/>
      <c r="T466" s="28"/>
      <c r="U466" s="29"/>
    </row>
    <row r="467" spans="1:21" s="27" customFormat="1" ht="11.1" customHeight="1" x14ac:dyDescent="0.2">
      <c r="A467" s="14"/>
      <c r="B467" s="14"/>
      <c r="C467" s="14"/>
      <c r="D467" s="71"/>
      <c r="F467" s="84"/>
      <c r="T467" s="28"/>
      <c r="U467" s="29"/>
    </row>
    <row r="468" spans="1:21" s="27" customFormat="1" ht="12" customHeight="1" x14ac:dyDescent="0.2">
      <c r="A468" s="384"/>
      <c r="B468" s="18"/>
      <c r="C468" s="14"/>
      <c r="D468" s="71"/>
      <c r="F468" s="84"/>
      <c r="T468" s="28"/>
      <c r="U468" s="29"/>
    </row>
    <row r="469" spans="1:21" s="27" customFormat="1" ht="63" customHeight="1" x14ac:dyDescent="0.2">
      <c r="A469" s="14"/>
      <c r="B469" s="383"/>
      <c r="C469" s="14"/>
      <c r="D469" s="71"/>
      <c r="F469" s="84"/>
      <c r="T469" s="28"/>
      <c r="U469" s="29"/>
    </row>
    <row r="470" spans="1:21" s="27" customFormat="1" ht="11.1" customHeight="1" x14ac:dyDescent="0.2">
      <c r="A470" s="14"/>
      <c r="B470" s="14"/>
      <c r="C470" s="14"/>
      <c r="D470" s="71"/>
      <c r="F470" s="84"/>
      <c r="T470" s="28"/>
      <c r="U470" s="29"/>
    </row>
    <row r="471" spans="1:21" s="27" customFormat="1" ht="12" customHeight="1" x14ac:dyDescent="0.2">
      <c r="A471" s="389"/>
      <c r="B471" s="385"/>
      <c r="C471" s="14"/>
      <c r="D471" s="71"/>
      <c r="F471" s="84"/>
      <c r="T471" s="28"/>
      <c r="U471" s="29"/>
    </row>
    <row r="472" spans="1:21" s="27" customFormat="1" ht="21.95" customHeight="1" x14ac:dyDescent="0.2">
      <c r="A472" s="386"/>
      <c r="B472" s="387"/>
      <c r="C472" s="15"/>
      <c r="D472" s="71"/>
      <c r="F472" s="84"/>
      <c r="T472" s="28"/>
      <c r="U472" s="29"/>
    </row>
    <row r="473" spans="1:21" s="27" customFormat="1" ht="24.95" customHeight="1" x14ac:dyDescent="0.2">
      <c r="A473" s="14"/>
      <c r="B473" s="383"/>
      <c r="C473" s="14"/>
      <c r="D473" s="71"/>
      <c r="F473" s="84"/>
      <c r="T473" s="28"/>
      <c r="U473" s="29"/>
    </row>
    <row r="474" spans="1:21" s="27" customFormat="1" ht="11.1" customHeight="1" x14ac:dyDescent="0.2">
      <c r="A474" s="14"/>
      <c r="B474" s="14"/>
      <c r="C474" s="14"/>
      <c r="D474" s="71"/>
      <c r="F474" s="84"/>
      <c r="T474" s="28"/>
      <c r="U474" s="29"/>
    </row>
    <row r="475" spans="1:21" s="27" customFormat="1" ht="12" customHeight="1" x14ac:dyDescent="0.2">
      <c r="A475" s="14"/>
      <c r="B475" s="18"/>
      <c r="C475" s="14"/>
      <c r="D475" s="71"/>
      <c r="F475" s="84"/>
      <c r="T475" s="28"/>
      <c r="U475" s="29"/>
    </row>
    <row r="476" spans="1:21" s="27" customFormat="1" ht="11.1" customHeight="1" x14ac:dyDescent="0.2">
      <c r="A476" s="14"/>
      <c r="B476" s="14"/>
      <c r="C476" s="14"/>
      <c r="D476" s="71"/>
      <c r="F476" s="84"/>
      <c r="T476" s="28"/>
      <c r="U476" s="29"/>
    </row>
    <row r="477" spans="1:21" s="27" customFormat="1" ht="12" customHeight="1" x14ac:dyDescent="0.2">
      <c r="A477" s="384"/>
      <c r="B477" s="18"/>
      <c r="C477" s="14"/>
      <c r="D477" s="71"/>
      <c r="F477" s="84"/>
      <c r="T477" s="28"/>
      <c r="U477" s="29"/>
    </row>
    <row r="478" spans="1:21" s="27" customFormat="1" ht="51" customHeight="1" x14ac:dyDescent="0.2">
      <c r="A478" s="14"/>
      <c r="B478" s="383"/>
      <c r="C478" s="14"/>
      <c r="D478" s="71"/>
      <c r="F478" s="84"/>
      <c r="T478" s="28"/>
      <c r="U478" s="29"/>
    </row>
    <row r="479" spans="1:21" s="27" customFormat="1" ht="11.1" customHeight="1" x14ac:dyDescent="0.2">
      <c r="A479" s="14"/>
      <c r="B479" s="14"/>
      <c r="C479" s="14"/>
      <c r="D479" s="71"/>
      <c r="F479" s="84"/>
      <c r="T479" s="28"/>
      <c r="U479" s="29"/>
    </row>
    <row r="480" spans="1:21" s="27" customFormat="1" ht="63" customHeight="1" x14ac:dyDescent="0.2">
      <c r="A480" s="14"/>
      <c r="B480" s="14"/>
      <c r="C480" s="21"/>
      <c r="D480" s="71"/>
      <c r="F480" s="84"/>
      <c r="T480" s="28"/>
      <c r="U480" s="29"/>
    </row>
    <row r="481" spans="1:21" s="27" customFormat="1" ht="11.1" customHeight="1" x14ac:dyDescent="0.2">
      <c r="A481" s="14"/>
      <c r="B481" s="14"/>
      <c r="C481" s="14"/>
      <c r="D481" s="71"/>
      <c r="F481" s="84"/>
      <c r="T481" s="28"/>
      <c r="U481" s="29"/>
    </row>
    <row r="482" spans="1:21" s="27" customFormat="1" ht="24.95" customHeight="1" x14ac:dyDescent="0.2">
      <c r="A482" s="14"/>
      <c r="B482" s="383"/>
      <c r="C482" s="14"/>
      <c r="D482" s="71"/>
      <c r="F482" s="84"/>
      <c r="T482" s="28"/>
      <c r="U482" s="29"/>
    </row>
    <row r="483" spans="1:21" s="27" customFormat="1" ht="11.1" customHeight="1" x14ac:dyDescent="0.2">
      <c r="A483" s="14"/>
      <c r="B483" s="14"/>
      <c r="C483" s="14"/>
      <c r="D483" s="71"/>
      <c r="F483" s="84"/>
      <c r="T483" s="28"/>
      <c r="U483" s="29"/>
    </row>
    <row r="484" spans="1:21" s="27" customFormat="1" ht="24.95" customHeight="1" x14ac:dyDescent="0.2">
      <c r="A484" s="14"/>
      <c r="B484" s="383"/>
      <c r="C484" s="14"/>
      <c r="D484" s="71"/>
      <c r="F484" s="84"/>
      <c r="T484" s="28"/>
      <c r="U484" s="29"/>
    </row>
    <row r="485" spans="1:21" s="27" customFormat="1" ht="11.1" customHeight="1" x14ac:dyDescent="0.2">
      <c r="A485" s="14"/>
      <c r="B485" s="14"/>
      <c r="C485" s="14"/>
      <c r="D485" s="71"/>
      <c r="F485" s="84"/>
      <c r="T485" s="28"/>
      <c r="U485" s="29"/>
    </row>
    <row r="486" spans="1:21" s="27" customFormat="1" ht="12" customHeight="1" x14ac:dyDescent="0.2">
      <c r="A486" s="389"/>
      <c r="B486" s="385"/>
      <c r="C486" s="14"/>
      <c r="D486" s="71"/>
      <c r="F486" s="84"/>
      <c r="T486" s="28"/>
      <c r="U486" s="29"/>
    </row>
    <row r="487" spans="1:21" s="27" customFormat="1" ht="63" customHeight="1" x14ac:dyDescent="0.2">
      <c r="A487" s="14"/>
      <c r="B487" s="383"/>
      <c r="C487" s="14"/>
      <c r="D487" s="71"/>
      <c r="F487" s="84"/>
      <c r="T487" s="28"/>
      <c r="U487" s="29"/>
    </row>
    <row r="488" spans="1:21" s="27" customFormat="1" ht="11.1" customHeight="1" x14ac:dyDescent="0.2">
      <c r="A488" s="14"/>
      <c r="B488" s="14"/>
      <c r="C488" s="14"/>
      <c r="D488" s="71"/>
      <c r="F488" s="84"/>
      <c r="T488" s="28"/>
      <c r="U488" s="29"/>
    </row>
    <row r="489" spans="1:21" s="27" customFormat="1" ht="38.1" customHeight="1" x14ac:dyDescent="0.2">
      <c r="A489" s="14"/>
      <c r="B489" s="14"/>
      <c r="C489" s="14"/>
      <c r="D489" s="71"/>
      <c r="F489" s="84"/>
      <c r="T489" s="28"/>
      <c r="U489" s="29"/>
    </row>
    <row r="490" spans="1:21" s="27" customFormat="1" ht="11.1" customHeight="1" x14ac:dyDescent="0.2">
      <c r="A490" s="14"/>
      <c r="B490" s="14"/>
      <c r="C490" s="14"/>
      <c r="D490" s="71"/>
      <c r="F490" s="84"/>
      <c r="T490" s="28"/>
      <c r="U490" s="29"/>
    </row>
    <row r="491" spans="1:21" s="27" customFormat="1" ht="12" customHeight="1" x14ac:dyDescent="0.2">
      <c r="A491" s="14"/>
      <c r="B491" s="18"/>
      <c r="C491" s="14"/>
      <c r="D491" s="71"/>
      <c r="F491" s="84"/>
      <c r="T491" s="28"/>
      <c r="U491" s="29"/>
    </row>
    <row r="492" spans="1:21" s="27" customFormat="1" ht="11.1" customHeight="1" x14ac:dyDescent="0.2">
      <c r="A492" s="14"/>
      <c r="B492" s="14"/>
      <c r="C492" s="14"/>
      <c r="D492" s="71"/>
      <c r="F492" s="84"/>
      <c r="T492" s="28"/>
      <c r="U492" s="29"/>
    </row>
    <row r="493" spans="1:21" s="27" customFormat="1" ht="12" customHeight="1" x14ac:dyDescent="0.2">
      <c r="A493" s="384"/>
      <c r="B493" s="18"/>
      <c r="C493" s="14"/>
      <c r="D493" s="71"/>
      <c r="F493" s="84"/>
      <c r="T493" s="28"/>
      <c r="U493" s="29"/>
    </row>
    <row r="494" spans="1:21" s="27" customFormat="1" ht="63" customHeight="1" x14ac:dyDescent="0.2">
      <c r="A494" s="14"/>
      <c r="B494" s="383"/>
      <c r="C494" s="14"/>
      <c r="D494" s="71"/>
      <c r="F494" s="84"/>
      <c r="T494" s="28"/>
      <c r="U494" s="29"/>
    </row>
    <row r="495" spans="1:21" s="27" customFormat="1" ht="11.1" customHeight="1" x14ac:dyDescent="0.2">
      <c r="A495" s="14"/>
      <c r="B495" s="14"/>
      <c r="C495" s="14"/>
      <c r="D495" s="71"/>
      <c r="F495" s="84"/>
      <c r="T495" s="28"/>
      <c r="U495" s="29"/>
    </row>
    <row r="496" spans="1:21" s="27" customFormat="1" ht="42" customHeight="1" x14ac:dyDescent="0.2">
      <c r="A496" s="14"/>
      <c r="B496" s="383"/>
      <c r="C496" s="14"/>
      <c r="D496" s="71"/>
      <c r="F496" s="84"/>
      <c r="T496" s="28"/>
      <c r="U496" s="29"/>
    </row>
    <row r="497" spans="1:21" s="27" customFormat="1" ht="12" customHeight="1" x14ac:dyDescent="0.2">
      <c r="A497" s="14"/>
      <c r="B497" s="14"/>
      <c r="C497" s="14"/>
      <c r="D497" s="71"/>
      <c r="F497" s="84"/>
      <c r="T497" s="28"/>
      <c r="U497" s="29"/>
    </row>
    <row r="498" spans="1:21" s="27" customFormat="1" ht="51" customHeight="1" x14ac:dyDescent="0.2">
      <c r="A498" s="14"/>
      <c r="B498" s="383"/>
      <c r="C498" s="14"/>
      <c r="D498" s="71"/>
      <c r="F498" s="84"/>
      <c r="T498" s="28"/>
      <c r="U498" s="29"/>
    </row>
    <row r="499" spans="1:21" s="27" customFormat="1" ht="21.95" customHeight="1" x14ac:dyDescent="0.2">
      <c r="A499" s="386"/>
      <c r="B499" s="387"/>
      <c r="C499" s="15"/>
      <c r="D499" s="71"/>
      <c r="F499" s="84"/>
      <c r="T499" s="28"/>
      <c r="U499" s="29"/>
    </row>
    <row r="500" spans="1:21" s="27" customFormat="1" ht="11.1" customHeight="1" x14ac:dyDescent="0.2">
      <c r="A500" s="14"/>
      <c r="B500" s="14"/>
      <c r="C500" s="14"/>
      <c r="D500" s="71"/>
      <c r="F500" s="84"/>
      <c r="T500" s="28"/>
      <c r="U500" s="29"/>
    </row>
    <row r="501" spans="1:21" s="27" customFormat="1" ht="12" customHeight="1" x14ac:dyDescent="0.2">
      <c r="A501" s="389"/>
      <c r="B501" s="385"/>
      <c r="C501" s="14"/>
      <c r="D501" s="71"/>
      <c r="F501" s="84"/>
      <c r="T501" s="28"/>
      <c r="U501" s="29"/>
    </row>
    <row r="502" spans="1:21" s="27" customFormat="1" ht="63" customHeight="1" x14ac:dyDescent="0.2">
      <c r="A502" s="14"/>
      <c r="B502" s="383"/>
      <c r="C502" s="14"/>
      <c r="D502" s="71"/>
      <c r="F502" s="84"/>
      <c r="T502" s="28"/>
      <c r="U502" s="29"/>
    </row>
    <row r="503" spans="1:21" s="27" customFormat="1" ht="11.1" customHeight="1" x14ac:dyDescent="0.2">
      <c r="A503" s="14"/>
      <c r="B503" s="14"/>
      <c r="C503" s="14"/>
      <c r="D503" s="71"/>
      <c r="F503" s="84"/>
      <c r="T503" s="28"/>
      <c r="U503" s="29"/>
    </row>
    <row r="504" spans="1:21" s="27" customFormat="1" ht="38.1" customHeight="1" x14ac:dyDescent="0.2">
      <c r="A504" s="14"/>
      <c r="B504" s="14"/>
      <c r="C504" s="14"/>
      <c r="D504" s="71"/>
      <c r="F504" s="84"/>
      <c r="T504" s="28"/>
      <c r="U504" s="29"/>
    </row>
    <row r="505" spans="1:21" s="27" customFormat="1" ht="11.1" customHeight="1" x14ac:dyDescent="0.2">
      <c r="A505" s="14"/>
      <c r="B505" s="14"/>
      <c r="C505" s="14"/>
      <c r="D505" s="71"/>
      <c r="F505" s="84"/>
      <c r="T505" s="28"/>
      <c r="U505" s="29"/>
    </row>
    <row r="506" spans="1:21" s="27" customFormat="1" ht="12" customHeight="1" x14ac:dyDescent="0.2">
      <c r="A506" s="14"/>
      <c r="B506" s="18"/>
      <c r="C506" s="14"/>
      <c r="D506" s="71"/>
      <c r="F506" s="84"/>
      <c r="T506" s="28"/>
      <c r="U506" s="29"/>
    </row>
    <row r="507" spans="1:21" s="27" customFormat="1" ht="11.1" customHeight="1" x14ac:dyDescent="0.2">
      <c r="A507" s="14"/>
      <c r="B507" s="14"/>
      <c r="C507" s="14"/>
      <c r="D507" s="71"/>
      <c r="F507" s="84"/>
      <c r="T507" s="28"/>
      <c r="U507" s="29"/>
    </row>
    <row r="508" spans="1:21" s="27" customFormat="1" ht="21.95" customHeight="1" x14ac:dyDescent="0.2">
      <c r="A508" s="386"/>
      <c r="B508" s="387"/>
      <c r="C508" s="15"/>
      <c r="D508" s="71"/>
      <c r="F508" s="84"/>
      <c r="T508" s="28"/>
      <c r="U508" s="29"/>
    </row>
    <row r="509" spans="1:21" s="27" customFormat="1" ht="12" customHeight="1" x14ac:dyDescent="0.2">
      <c r="A509" s="384"/>
      <c r="B509" s="18"/>
      <c r="C509" s="14"/>
      <c r="D509" s="71"/>
      <c r="F509" s="84"/>
      <c r="T509" s="28"/>
      <c r="U509" s="29"/>
    </row>
    <row r="510" spans="1:21" s="27" customFormat="1" ht="12" customHeight="1" x14ac:dyDescent="0.2">
      <c r="A510" s="389"/>
      <c r="B510" s="385"/>
      <c r="C510" s="14"/>
      <c r="D510" s="71"/>
      <c r="F510" s="84"/>
      <c r="T510" s="28"/>
      <c r="U510" s="29"/>
    </row>
    <row r="511" spans="1:21" s="27" customFormat="1" ht="36.950000000000003" customHeight="1" x14ac:dyDescent="0.2">
      <c r="A511" s="14"/>
      <c r="B511" s="383"/>
      <c r="C511" s="14"/>
      <c r="D511" s="71"/>
      <c r="F511" s="84"/>
      <c r="T511" s="28"/>
      <c r="U511" s="29"/>
    </row>
    <row r="512" spans="1:21" s="27" customFormat="1" ht="11.1" customHeight="1" x14ac:dyDescent="0.2">
      <c r="A512" s="14"/>
      <c r="B512" s="14"/>
      <c r="C512" s="14"/>
      <c r="D512" s="71"/>
      <c r="F512" s="84"/>
      <c r="T512" s="28"/>
      <c r="U512" s="29"/>
    </row>
    <row r="513" spans="1:21" s="27" customFormat="1" ht="12" customHeight="1" x14ac:dyDescent="0.2">
      <c r="A513" s="384"/>
      <c r="B513" s="385"/>
      <c r="C513" s="14"/>
      <c r="D513" s="71"/>
      <c r="F513" s="84"/>
      <c r="T513" s="28"/>
      <c r="U513" s="29"/>
    </row>
    <row r="514" spans="1:21" s="27" customFormat="1" ht="38.1" customHeight="1" x14ac:dyDescent="0.2">
      <c r="A514" s="14"/>
      <c r="B514" s="383"/>
      <c r="C514" s="14"/>
      <c r="D514" s="71"/>
      <c r="F514" s="84"/>
      <c r="T514" s="28"/>
      <c r="U514" s="29"/>
    </row>
    <row r="515" spans="1:21" s="27" customFormat="1" ht="11.1" customHeight="1" x14ac:dyDescent="0.2">
      <c r="A515" s="14"/>
      <c r="B515" s="14"/>
      <c r="C515" s="14"/>
      <c r="D515" s="71"/>
      <c r="F515" s="84"/>
      <c r="T515" s="28"/>
      <c r="U515" s="29"/>
    </row>
    <row r="516" spans="1:21" s="27" customFormat="1" ht="75.95" customHeight="1" x14ac:dyDescent="0.2">
      <c r="A516" s="14"/>
      <c r="B516" s="383"/>
      <c r="C516" s="14"/>
      <c r="D516" s="71"/>
      <c r="F516" s="84"/>
      <c r="T516" s="28"/>
      <c r="U516" s="29"/>
    </row>
    <row r="517" spans="1:21" s="27" customFormat="1" ht="11.1" customHeight="1" x14ac:dyDescent="0.2">
      <c r="A517" s="14"/>
      <c r="B517" s="14"/>
      <c r="C517" s="14"/>
      <c r="D517" s="71"/>
      <c r="F517" s="84"/>
      <c r="T517" s="28"/>
      <c r="U517" s="29"/>
    </row>
    <row r="518" spans="1:21" s="27" customFormat="1" ht="75.95" customHeight="1" x14ac:dyDescent="0.2">
      <c r="A518" s="14"/>
      <c r="B518" s="14"/>
      <c r="C518" s="14"/>
      <c r="D518" s="71"/>
      <c r="F518" s="84"/>
      <c r="T518" s="28"/>
      <c r="U518" s="29"/>
    </row>
    <row r="519" spans="1:21" s="27" customFormat="1" ht="11.1" customHeight="1" x14ac:dyDescent="0.2">
      <c r="A519" s="14"/>
      <c r="B519" s="14"/>
      <c r="C519" s="14"/>
      <c r="D519" s="71"/>
      <c r="F519" s="84"/>
      <c r="T519" s="28"/>
      <c r="U519" s="29"/>
    </row>
    <row r="520" spans="1:21" s="27" customFormat="1" ht="63" customHeight="1" x14ac:dyDescent="0.2">
      <c r="A520" s="14"/>
      <c r="B520" s="383"/>
      <c r="C520" s="14"/>
      <c r="D520" s="71"/>
      <c r="F520" s="84"/>
      <c r="T520" s="28"/>
      <c r="U520" s="29"/>
    </row>
    <row r="521" spans="1:21" s="27" customFormat="1" ht="11.1" customHeight="1" x14ac:dyDescent="0.2">
      <c r="A521" s="14"/>
      <c r="B521" s="14"/>
      <c r="C521" s="14"/>
      <c r="D521" s="71"/>
      <c r="F521" s="84"/>
      <c r="T521" s="28"/>
      <c r="U521" s="29"/>
    </row>
    <row r="522" spans="1:21" s="27" customFormat="1" ht="12" customHeight="1" x14ac:dyDescent="0.2">
      <c r="A522" s="14"/>
      <c r="B522" s="18"/>
      <c r="C522" s="14"/>
      <c r="D522" s="71"/>
      <c r="F522" s="84"/>
      <c r="T522" s="28"/>
      <c r="U522" s="29"/>
    </row>
    <row r="523" spans="1:21" s="27" customFormat="1" ht="11.1" customHeight="1" x14ac:dyDescent="0.2">
      <c r="A523" s="14"/>
      <c r="B523" s="14"/>
      <c r="C523" s="14"/>
      <c r="D523" s="71"/>
      <c r="F523" s="84"/>
      <c r="T523" s="28"/>
      <c r="U523" s="29"/>
    </row>
    <row r="524" spans="1:21" s="27" customFormat="1" ht="12" customHeight="1" x14ac:dyDescent="0.2">
      <c r="A524" s="384"/>
      <c r="B524" s="18"/>
      <c r="C524" s="14"/>
      <c r="D524" s="71"/>
      <c r="F524" s="84"/>
      <c r="T524" s="28"/>
      <c r="U524" s="29"/>
    </row>
    <row r="525" spans="1:21" s="27" customFormat="1" ht="12" customHeight="1" x14ac:dyDescent="0.2">
      <c r="A525" s="384"/>
      <c r="B525" s="385"/>
      <c r="C525" s="14"/>
      <c r="D525" s="71"/>
      <c r="F525" s="84"/>
      <c r="T525" s="28"/>
      <c r="U525" s="29"/>
    </row>
    <row r="526" spans="1:21" s="27" customFormat="1" ht="63" customHeight="1" x14ac:dyDescent="0.2">
      <c r="A526" s="14"/>
      <c r="B526" s="383"/>
      <c r="C526" s="14"/>
      <c r="D526" s="71"/>
      <c r="F526" s="84"/>
      <c r="T526" s="28"/>
      <c r="U526" s="29"/>
    </row>
    <row r="527" spans="1:21" s="27" customFormat="1" ht="11.1" customHeight="1" x14ac:dyDescent="0.2">
      <c r="A527" s="14"/>
      <c r="B527" s="14"/>
      <c r="C527" s="14"/>
      <c r="D527" s="71"/>
      <c r="F527" s="84"/>
      <c r="T527" s="28"/>
      <c r="U527" s="29"/>
    </row>
    <row r="528" spans="1:21" s="27" customFormat="1" ht="11.1" customHeight="1" x14ac:dyDescent="0.2">
      <c r="A528" s="384"/>
      <c r="B528" s="385"/>
      <c r="C528" s="14"/>
      <c r="D528" s="71"/>
      <c r="F528" s="84"/>
      <c r="T528" s="28"/>
      <c r="U528" s="29"/>
    </row>
    <row r="529" spans="1:21" s="27" customFormat="1" ht="63" customHeight="1" x14ac:dyDescent="0.2">
      <c r="A529" s="14"/>
      <c r="B529" s="383"/>
      <c r="C529" s="14"/>
      <c r="D529" s="71"/>
      <c r="F529" s="84"/>
      <c r="T529" s="28"/>
      <c r="U529" s="29"/>
    </row>
    <row r="530" spans="1:21" s="27" customFormat="1" ht="11.1" customHeight="1" x14ac:dyDescent="0.2">
      <c r="A530" s="14"/>
      <c r="B530" s="14"/>
      <c r="C530" s="14"/>
      <c r="D530" s="71"/>
      <c r="F530" s="84"/>
      <c r="T530" s="28"/>
      <c r="U530" s="29"/>
    </row>
    <row r="531" spans="1:21" s="27" customFormat="1" ht="38.1" customHeight="1" x14ac:dyDescent="0.2">
      <c r="A531" s="14"/>
      <c r="B531" s="383"/>
      <c r="C531" s="14"/>
      <c r="D531" s="71"/>
      <c r="F531" s="84"/>
      <c r="T531" s="28"/>
      <c r="U531" s="29"/>
    </row>
    <row r="532" spans="1:21" s="27" customFormat="1" ht="21.95" customHeight="1" x14ac:dyDescent="0.2">
      <c r="A532" s="386"/>
      <c r="B532" s="387"/>
      <c r="C532" s="15"/>
      <c r="D532" s="71"/>
      <c r="F532" s="84"/>
      <c r="T532" s="28"/>
      <c r="U532" s="29"/>
    </row>
    <row r="533" spans="1:21" s="27" customFormat="1" ht="11.1" customHeight="1" x14ac:dyDescent="0.2">
      <c r="A533" s="14"/>
      <c r="B533" s="14"/>
      <c r="C533" s="14"/>
      <c r="D533" s="71"/>
      <c r="F533" s="84"/>
      <c r="T533" s="28"/>
      <c r="U533" s="29"/>
    </row>
    <row r="534" spans="1:21" s="27" customFormat="1" ht="12" customHeight="1" x14ac:dyDescent="0.2">
      <c r="A534" s="389"/>
      <c r="B534" s="385"/>
      <c r="C534" s="14"/>
      <c r="D534" s="71"/>
      <c r="F534" s="84"/>
      <c r="T534" s="28"/>
      <c r="U534" s="29"/>
    </row>
    <row r="535" spans="1:21" s="27" customFormat="1" ht="39" customHeight="1" x14ac:dyDescent="0.2">
      <c r="A535" s="14"/>
      <c r="B535" s="383"/>
      <c r="C535" s="14"/>
      <c r="D535" s="71"/>
      <c r="F535" s="84"/>
      <c r="T535" s="28"/>
      <c r="U535" s="29"/>
    </row>
    <row r="536" spans="1:21" s="27" customFormat="1" ht="11.1" customHeight="1" x14ac:dyDescent="0.2">
      <c r="A536" s="14"/>
      <c r="B536" s="14"/>
      <c r="C536" s="14"/>
      <c r="D536" s="71"/>
      <c r="F536" s="84"/>
      <c r="T536" s="28"/>
      <c r="U536" s="29"/>
    </row>
    <row r="537" spans="1:21" s="27" customFormat="1" ht="12" customHeight="1" x14ac:dyDescent="0.2">
      <c r="A537" s="14"/>
      <c r="B537" s="383"/>
      <c r="C537" s="14"/>
      <c r="D537" s="71"/>
      <c r="F537" s="84"/>
      <c r="T537" s="28"/>
      <c r="U537" s="29"/>
    </row>
    <row r="538" spans="1:21" s="27" customFormat="1" ht="11.1" customHeight="1" x14ac:dyDescent="0.2">
      <c r="A538" s="14"/>
      <c r="B538" s="14"/>
      <c r="C538" s="14"/>
      <c r="D538" s="71"/>
      <c r="F538" s="84"/>
      <c r="T538" s="28"/>
      <c r="U538" s="29"/>
    </row>
    <row r="539" spans="1:21" s="27" customFormat="1" ht="12" customHeight="1" x14ac:dyDescent="0.2">
      <c r="A539" s="389"/>
      <c r="B539" s="385"/>
      <c r="C539" s="14"/>
      <c r="D539" s="71"/>
      <c r="F539" s="84"/>
      <c r="T539" s="28"/>
      <c r="U539" s="29"/>
    </row>
    <row r="540" spans="1:21" s="27" customFormat="1" ht="63" customHeight="1" x14ac:dyDescent="0.2">
      <c r="A540" s="14"/>
      <c r="B540" s="383"/>
      <c r="C540" s="14"/>
      <c r="D540" s="71"/>
      <c r="F540" s="84"/>
      <c r="T540" s="28"/>
      <c r="U540" s="29"/>
    </row>
    <row r="541" spans="1:21" s="27" customFormat="1" ht="11.1" customHeight="1" x14ac:dyDescent="0.2">
      <c r="A541" s="14"/>
      <c r="B541" s="14"/>
      <c r="C541" s="14"/>
      <c r="D541" s="71"/>
      <c r="F541" s="84"/>
      <c r="T541" s="28"/>
      <c r="U541" s="29"/>
    </row>
    <row r="542" spans="1:21" s="27" customFormat="1" ht="12" customHeight="1" x14ac:dyDescent="0.2">
      <c r="A542" s="14"/>
      <c r="B542" s="383"/>
      <c r="C542" s="14"/>
      <c r="D542" s="71"/>
      <c r="F542" s="84"/>
      <c r="T542" s="28"/>
      <c r="U542" s="29"/>
    </row>
    <row r="543" spans="1:21" s="27" customFormat="1" ht="11.1" customHeight="1" x14ac:dyDescent="0.2">
      <c r="A543" s="14"/>
      <c r="B543" s="14"/>
      <c r="C543" s="14"/>
      <c r="D543" s="71"/>
      <c r="F543" s="84"/>
      <c r="T543" s="28"/>
      <c r="U543" s="29"/>
    </row>
    <row r="544" spans="1:21" s="27" customFormat="1" ht="12" customHeight="1" x14ac:dyDescent="0.2">
      <c r="A544" s="14"/>
      <c r="B544" s="18"/>
      <c r="C544" s="14"/>
      <c r="D544" s="71"/>
      <c r="F544" s="84"/>
      <c r="T544" s="28"/>
      <c r="U544" s="29"/>
    </row>
    <row r="545" spans="1:21" s="27" customFormat="1" ht="12" customHeight="1" x14ac:dyDescent="0.2">
      <c r="A545" s="384"/>
      <c r="B545" s="18"/>
      <c r="C545" s="14"/>
      <c r="D545" s="71"/>
      <c r="F545" s="84"/>
      <c r="T545" s="28"/>
      <c r="U545" s="29"/>
    </row>
    <row r="546" spans="1:21" s="27" customFormat="1" ht="12" customHeight="1" x14ac:dyDescent="0.2">
      <c r="A546" s="389"/>
      <c r="B546" s="385"/>
      <c r="C546" s="14"/>
      <c r="D546" s="71"/>
      <c r="F546" s="84"/>
      <c r="T546" s="28"/>
      <c r="U546" s="29"/>
    </row>
    <row r="547" spans="1:21" s="27" customFormat="1" ht="24.95" customHeight="1" x14ac:dyDescent="0.2">
      <c r="A547" s="14"/>
      <c r="B547" s="383"/>
      <c r="C547" s="14"/>
      <c r="D547" s="71"/>
      <c r="F547" s="84"/>
      <c r="T547" s="28"/>
      <c r="U547" s="29"/>
    </row>
    <row r="548" spans="1:21" s="27" customFormat="1" ht="11.1" customHeight="1" x14ac:dyDescent="0.2">
      <c r="A548" s="14"/>
      <c r="B548" s="14"/>
      <c r="C548" s="14"/>
      <c r="D548" s="71"/>
      <c r="F548" s="84"/>
      <c r="T548" s="28"/>
      <c r="U548" s="29"/>
    </row>
    <row r="549" spans="1:21" s="27" customFormat="1" ht="12" customHeight="1" x14ac:dyDescent="0.2">
      <c r="A549" s="389"/>
      <c r="B549" s="385"/>
      <c r="C549" s="14"/>
      <c r="D549" s="71"/>
      <c r="F549" s="84"/>
      <c r="T549" s="28"/>
      <c r="U549" s="29"/>
    </row>
    <row r="550" spans="1:21" s="27" customFormat="1" ht="24.95" customHeight="1" x14ac:dyDescent="0.2">
      <c r="A550" s="14"/>
      <c r="B550" s="383"/>
      <c r="C550" s="14"/>
      <c r="D550" s="71"/>
      <c r="F550" s="84"/>
      <c r="T550" s="28"/>
      <c r="U550" s="29"/>
    </row>
    <row r="551" spans="1:21" s="27" customFormat="1" ht="11.1" customHeight="1" x14ac:dyDescent="0.2">
      <c r="A551" s="14"/>
      <c r="B551" s="14"/>
      <c r="C551" s="14"/>
      <c r="D551" s="71"/>
      <c r="F551" s="84"/>
      <c r="T551" s="28"/>
      <c r="U551" s="29"/>
    </row>
    <row r="552" spans="1:21" s="27" customFormat="1" ht="21.95" customHeight="1" x14ac:dyDescent="0.2">
      <c r="A552" s="386"/>
      <c r="B552" s="387"/>
      <c r="C552" s="15"/>
      <c r="D552" s="71"/>
      <c r="F552" s="84"/>
      <c r="T552" s="28"/>
      <c r="U552" s="29"/>
    </row>
    <row r="553" spans="1:21" s="27" customFormat="1" ht="12" customHeight="1" x14ac:dyDescent="0.2">
      <c r="A553" s="389"/>
      <c r="B553" s="385"/>
      <c r="C553" s="14"/>
      <c r="D553" s="71"/>
      <c r="F553" s="84"/>
      <c r="T553" s="28"/>
      <c r="U553" s="29"/>
    </row>
    <row r="554" spans="1:21" s="27" customFormat="1" ht="24.95" customHeight="1" x14ac:dyDescent="0.2">
      <c r="A554" s="14"/>
      <c r="B554" s="383"/>
      <c r="C554" s="14"/>
      <c r="D554" s="71"/>
      <c r="F554" s="84"/>
      <c r="T554" s="28"/>
      <c r="U554" s="29"/>
    </row>
    <row r="555" spans="1:21" s="27" customFormat="1" ht="11.1" customHeight="1" x14ac:dyDescent="0.2">
      <c r="A555" s="14"/>
      <c r="B555" s="14"/>
      <c r="C555" s="14"/>
      <c r="D555" s="71"/>
      <c r="F555" s="84"/>
      <c r="T555" s="28"/>
      <c r="U555" s="29"/>
    </row>
    <row r="556" spans="1:21" s="27" customFormat="1" ht="12" customHeight="1" x14ac:dyDescent="0.2">
      <c r="A556" s="14"/>
      <c r="B556" s="18"/>
      <c r="C556" s="14"/>
      <c r="D556" s="71"/>
      <c r="F556" s="84"/>
      <c r="T556" s="28"/>
      <c r="U556" s="29"/>
    </row>
    <row r="557" spans="1:21" s="27" customFormat="1" ht="11.1" customHeight="1" x14ac:dyDescent="0.2">
      <c r="A557" s="14"/>
      <c r="B557" s="14"/>
      <c r="C557" s="14"/>
      <c r="D557" s="71"/>
      <c r="F557" s="84"/>
      <c r="T557" s="28"/>
      <c r="U557" s="29"/>
    </row>
    <row r="558" spans="1:21" s="27" customFormat="1" ht="12" customHeight="1" x14ac:dyDescent="0.2">
      <c r="A558" s="384"/>
      <c r="B558" s="18"/>
      <c r="C558" s="14"/>
      <c r="D558" s="71"/>
      <c r="F558" s="84"/>
      <c r="T558" s="28"/>
      <c r="U558" s="29"/>
    </row>
    <row r="559" spans="1:21" s="27" customFormat="1" ht="51" customHeight="1" x14ac:dyDescent="0.2">
      <c r="A559" s="14"/>
      <c r="B559" s="383"/>
      <c r="C559" s="14"/>
      <c r="D559" s="71"/>
      <c r="F559" s="84"/>
      <c r="T559" s="28"/>
      <c r="U559" s="29"/>
    </row>
    <row r="560" spans="1:21" s="27" customFormat="1" ht="11.1" customHeight="1" x14ac:dyDescent="0.2">
      <c r="A560" s="14"/>
      <c r="B560" s="14"/>
      <c r="C560" s="14"/>
      <c r="D560" s="71"/>
      <c r="F560" s="84"/>
      <c r="T560" s="28"/>
      <c r="U560" s="29"/>
    </row>
    <row r="561" spans="1:21" s="27" customFormat="1" ht="11.1" customHeight="1" x14ac:dyDescent="0.2">
      <c r="A561" s="14"/>
      <c r="B561" s="14"/>
      <c r="C561" s="14"/>
      <c r="D561" s="71"/>
      <c r="F561" s="84"/>
      <c r="T561" s="28"/>
      <c r="U561" s="29"/>
    </row>
    <row r="562" spans="1:21" s="27" customFormat="1" ht="12" customHeight="1" x14ac:dyDescent="0.2">
      <c r="A562" s="384"/>
      <c r="B562" s="18"/>
      <c r="C562" s="14"/>
      <c r="D562" s="71"/>
      <c r="F562" s="84"/>
      <c r="T562" s="28"/>
      <c r="U562" s="29"/>
    </row>
    <row r="563" spans="1:21" s="27" customFormat="1" ht="12" customHeight="1" x14ac:dyDescent="0.2">
      <c r="A563" s="384"/>
      <c r="B563" s="18"/>
      <c r="C563" s="14"/>
      <c r="D563" s="71"/>
      <c r="F563" s="84"/>
      <c r="T563" s="28"/>
      <c r="U563" s="29"/>
    </row>
    <row r="564" spans="1:21" s="27" customFormat="1" ht="63" customHeight="1" x14ac:dyDescent="0.2">
      <c r="A564" s="14"/>
      <c r="B564" s="383"/>
      <c r="C564" s="14"/>
      <c r="D564" s="71"/>
      <c r="F564" s="84"/>
      <c r="T564" s="28"/>
      <c r="U564" s="29"/>
    </row>
    <row r="565" spans="1:21" s="27" customFormat="1" ht="11.1" customHeight="1" x14ac:dyDescent="0.2">
      <c r="A565" s="14"/>
      <c r="B565" s="14"/>
      <c r="C565" s="14"/>
      <c r="D565" s="71"/>
      <c r="F565" s="84"/>
      <c r="T565" s="28"/>
      <c r="U565" s="29"/>
    </row>
    <row r="566" spans="1:21" s="27" customFormat="1" ht="63" customHeight="1" x14ac:dyDescent="0.2">
      <c r="A566" s="14"/>
      <c r="B566" s="383"/>
      <c r="C566" s="14"/>
      <c r="D566" s="71"/>
      <c r="F566" s="84"/>
      <c r="T566" s="28"/>
      <c r="U566" s="29"/>
    </row>
    <row r="567" spans="1:21" s="27" customFormat="1" ht="11.1" customHeight="1" x14ac:dyDescent="0.2">
      <c r="A567" s="14"/>
      <c r="B567" s="14"/>
      <c r="C567" s="14"/>
      <c r="D567" s="71"/>
      <c r="F567" s="84"/>
      <c r="T567" s="28"/>
      <c r="U567" s="29"/>
    </row>
    <row r="568" spans="1:21" s="27" customFormat="1" ht="12" customHeight="1" x14ac:dyDescent="0.2">
      <c r="A568" s="14"/>
      <c r="B568" s="383"/>
      <c r="C568" s="14"/>
      <c r="D568" s="71"/>
      <c r="F568" s="84"/>
      <c r="T568" s="28"/>
      <c r="U568" s="29"/>
    </row>
    <row r="569" spans="1:21" s="27" customFormat="1" ht="12.95" customHeight="1" x14ac:dyDescent="0.2">
      <c r="A569" s="14"/>
      <c r="B569" s="383"/>
      <c r="C569" s="14"/>
      <c r="D569" s="71"/>
      <c r="F569" s="84"/>
      <c r="T569" s="28"/>
      <c r="U569" s="29"/>
    </row>
    <row r="570" spans="1:21" s="27" customFormat="1" ht="24.95" customHeight="1" x14ac:dyDescent="0.2">
      <c r="A570" s="14"/>
      <c r="B570" s="383"/>
      <c r="C570" s="14"/>
      <c r="D570" s="71"/>
      <c r="F570" s="84"/>
      <c r="T570" s="28"/>
      <c r="U570" s="29"/>
    </row>
    <row r="571" spans="1:21" s="27" customFormat="1" ht="12" customHeight="1" x14ac:dyDescent="0.2">
      <c r="A571" s="14"/>
      <c r="B571" s="383"/>
      <c r="C571" s="14"/>
      <c r="D571" s="71"/>
      <c r="F571" s="84"/>
      <c r="T571" s="28"/>
      <c r="U571" s="29"/>
    </row>
    <row r="572" spans="1:21" s="27" customFormat="1" ht="11.1" customHeight="1" x14ac:dyDescent="0.2">
      <c r="A572" s="14"/>
      <c r="B572" s="14"/>
      <c r="C572" s="14"/>
      <c r="D572" s="71"/>
      <c r="F572" s="84"/>
      <c r="T572" s="28"/>
      <c r="U572" s="29"/>
    </row>
    <row r="573" spans="1:21" s="27" customFormat="1" ht="51" customHeight="1" x14ac:dyDescent="0.2">
      <c r="A573" s="14"/>
      <c r="B573" s="383"/>
      <c r="C573" s="14"/>
      <c r="D573" s="71"/>
      <c r="F573" s="84"/>
      <c r="T573" s="28"/>
      <c r="U573" s="29"/>
    </row>
    <row r="574" spans="1:21" s="27" customFormat="1" ht="11.1" customHeight="1" x14ac:dyDescent="0.2">
      <c r="A574" s="14"/>
      <c r="B574" s="14"/>
      <c r="C574" s="14"/>
      <c r="D574" s="71"/>
      <c r="F574" s="84"/>
      <c r="T574" s="28"/>
      <c r="U574" s="29"/>
    </row>
    <row r="575" spans="1:21" s="27" customFormat="1" ht="26.1" customHeight="1" x14ac:dyDescent="0.2">
      <c r="A575" s="14"/>
      <c r="B575" s="383"/>
      <c r="C575" s="14"/>
      <c r="D575" s="71"/>
      <c r="F575" s="84"/>
      <c r="T575" s="28"/>
      <c r="U575" s="29"/>
    </row>
    <row r="576" spans="1:21" s="27" customFormat="1" ht="11.1" customHeight="1" x14ac:dyDescent="0.2">
      <c r="A576" s="14"/>
      <c r="B576" s="14"/>
      <c r="C576" s="14"/>
      <c r="D576" s="71"/>
      <c r="F576" s="84"/>
      <c r="T576" s="28"/>
      <c r="U576" s="29"/>
    </row>
    <row r="577" spans="1:21" s="27" customFormat="1" ht="12" customHeight="1" x14ac:dyDescent="0.2">
      <c r="A577" s="384"/>
      <c r="B577" s="18"/>
      <c r="C577" s="14"/>
      <c r="D577" s="71"/>
      <c r="F577" s="84"/>
      <c r="T577" s="28"/>
      <c r="U577" s="29"/>
    </row>
    <row r="578" spans="1:21" s="27" customFormat="1" ht="24.95" customHeight="1" x14ac:dyDescent="0.2">
      <c r="A578" s="14"/>
      <c r="B578" s="383"/>
      <c r="C578" s="14"/>
      <c r="D578" s="71"/>
      <c r="F578" s="84"/>
      <c r="T578" s="28"/>
      <c r="U578" s="29"/>
    </row>
    <row r="579" spans="1:21" s="27" customFormat="1" ht="24.95" customHeight="1" x14ac:dyDescent="0.2">
      <c r="A579" s="14"/>
      <c r="B579" s="383"/>
      <c r="C579" s="14"/>
      <c r="D579" s="71"/>
      <c r="F579" s="84"/>
      <c r="T579" s="28"/>
      <c r="U579" s="29"/>
    </row>
    <row r="580" spans="1:21" s="27" customFormat="1" ht="24.95" customHeight="1" x14ac:dyDescent="0.2">
      <c r="A580" s="14"/>
      <c r="B580" s="383"/>
      <c r="C580" s="14"/>
      <c r="D580" s="71"/>
      <c r="F580" s="84"/>
      <c r="T580" s="28"/>
      <c r="U580" s="29"/>
    </row>
    <row r="581" spans="1:21" s="27" customFormat="1" ht="24.95" customHeight="1" x14ac:dyDescent="0.2">
      <c r="A581" s="14"/>
      <c r="B581" s="383"/>
      <c r="C581" s="14"/>
      <c r="D581" s="71"/>
      <c r="F581" s="84"/>
      <c r="T581" s="28"/>
      <c r="U581" s="29"/>
    </row>
    <row r="582" spans="1:21" s="27" customFormat="1" ht="12" customHeight="1" x14ac:dyDescent="0.2">
      <c r="A582" s="14"/>
      <c r="B582" s="383"/>
      <c r="C582" s="14"/>
      <c r="D582" s="71"/>
      <c r="F582" s="84"/>
      <c r="T582" s="28"/>
      <c r="U582" s="29"/>
    </row>
    <row r="583" spans="1:21" s="27" customFormat="1" ht="21.95" customHeight="1" x14ac:dyDescent="0.2">
      <c r="A583" s="386"/>
      <c r="B583" s="387"/>
      <c r="C583" s="15"/>
      <c r="D583" s="71"/>
      <c r="F583" s="84"/>
      <c r="T583" s="28"/>
      <c r="U583" s="29"/>
    </row>
    <row r="584" spans="1:21" s="27" customFormat="1" ht="11.1" customHeight="1" x14ac:dyDescent="0.2">
      <c r="A584" s="14"/>
      <c r="B584" s="14"/>
      <c r="C584" s="14"/>
      <c r="D584" s="71"/>
      <c r="F584" s="84"/>
      <c r="T584" s="28"/>
      <c r="U584" s="29"/>
    </row>
    <row r="585" spans="1:21" s="27" customFormat="1" ht="26.1" customHeight="1" x14ac:dyDescent="0.2">
      <c r="A585" s="14"/>
      <c r="B585" s="383"/>
      <c r="C585" s="14"/>
      <c r="D585" s="71"/>
      <c r="F585" s="84"/>
      <c r="T585" s="28"/>
      <c r="U585" s="29"/>
    </row>
    <row r="586" spans="1:21" s="27" customFormat="1" ht="11.1" customHeight="1" x14ac:dyDescent="0.2">
      <c r="A586" s="14"/>
      <c r="B586" s="14"/>
      <c r="C586" s="14"/>
      <c r="D586" s="71"/>
      <c r="F586" s="84"/>
      <c r="T586" s="28"/>
      <c r="U586" s="29"/>
    </row>
    <row r="587" spans="1:21" s="27" customFormat="1" ht="12" customHeight="1" x14ac:dyDescent="0.2">
      <c r="A587" s="384"/>
      <c r="B587" s="18"/>
      <c r="C587" s="14"/>
      <c r="D587" s="71"/>
      <c r="F587" s="84"/>
      <c r="T587" s="28"/>
      <c r="U587" s="29"/>
    </row>
    <row r="588" spans="1:21" s="27" customFormat="1" ht="39" customHeight="1" x14ac:dyDescent="0.2">
      <c r="A588" s="14"/>
      <c r="B588" s="383"/>
      <c r="C588" s="14"/>
      <c r="D588" s="71"/>
      <c r="F588" s="84"/>
      <c r="T588" s="28"/>
      <c r="U588" s="29"/>
    </row>
    <row r="589" spans="1:21" s="27" customFormat="1" ht="11.1" customHeight="1" x14ac:dyDescent="0.2">
      <c r="A589" s="14"/>
      <c r="B589" s="14"/>
      <c r="C589" s="14"/>
      <c r="D589" s="71"/>
      <c r="F589" s="84"/>
      <c r="T589" s="28"/>
      <c r="U589" s="29"/>
    </row>
    <row r="590" spans="1:21" s="27" customFormat="1" ht="12" customHeight="1" x14ac:dyDescent="0.2">
      <c r="A590" s="384"/>
      <c r="B590" s="385"/>
      <c r="C590" s="14"/>
      <c r="D590" s="71"/>
      <c r="F590" s="84"/>
      <c r="T590" s="28"/>
      <c r="U590" s="29"/>
    </row>
    <row r="591" spans="1:21" s="27" customFormat="1" ht="51" customHeight="1" x14ac:dyDescent="0.2">
      <c r="A591" s="14"/>
      <c r="B591" s="383"/>
      <c r="C591" s="14"/>
      <c r="D591" s="71"/>
      <c r="F591" s="84"/>
      <c r="T591" s="28"/>
      <c r="U591" s="29"/>
    </row>
    <row r="592" spans="1:21" s="27" customFormat="1" ht="11.1" customHeight="1" x14ac:dyDescent="0.2">
      <c r="A592" s="14"/>
      <c r="B592" s="14"/>
      <c r="C592" s="14"/>
      <c r="D592" s="71"/>
      <c r="F592" s="84"/>
      <c r="T592" s="28"/>
      <c r="U592" s="29"/>
    </row>
    <row r="593" spans="1:21" s="27" customFormat="1" ht="75.95" customHeight="1" x14ac:dyDescent="0.2">
      <c r="A593" s="14"/>
      <c r="B593" s="14"/>
      <c r="C593" s="14"/>
      <c r="D593" s="71"/>
      <c r="F593" s="84"/>
      <c r="T593" s="28"/>
      <c r="U593" s="29"/>
    </row>
    <row r="594" spans="1:21" s="27" customFormat="1" ht="11.1" customHeight="1" x14ac:dyDescent="0.2">
      <c r="A594" s="14"/>
      <c r="B594" s="14"/>
      <c r="C594" s="14"/>
      <c r="D594" s="71"/>
      <c r="F594" s="84"/>
      <c r="T594" s="28"/>
      <c r="U594" s="29"/>
    </row>
    <row r="595" spans="1:21" s="27" customFormat="1" ht="21.95" customHeight="1" x14ac:dyDescent="0.2">
      <c r="A595" s="386"/>
      <c r="B595" s="387"/>
      <c r="C595" s="15"/>
      <c r="D595" s="71"/>
      <c r="F595" s="84"/>
      <c r="T595" s="28"/>
      <c r="U595" s="29"/>
    </row>
    <row r="596" spans="1:21" s="27" customFormat="1" ht="12" customHeight="1" x14ac:dyDescent="0.2">
      <c r="A596" s="384"/>
      <c r="B596" s="385"/>
      <c r="C596" s="14"/>
      <c r="D596" s="71"/>
      <c r="F596" s="84"/>
      <c r="T596" s="28"/>
      <c r="U596" s="29"/>
    </row>
    <row r="597" spans="1:21" s="27" customFormat="1" ht="89.1" customHeight="1" x14ac:dyDescent="0.2">
      <c r="A597" s="14"/>
      <c r="B597" s="383"/>
      <c r="C597" s="14"/>
      <c r="D597" s="71"/>
      <c r="F597" s="84"/>
      <c r="T597" s="28"/>
      <c r="U597" s="29"/>
    </row>
    <row r="598" spans="1:21" s="27" customFormat="1" ht="11.1" customHeight="1" x14ac:dyDescent="0.2">
      <c r="A598" s="14"/>
      <c r="B598" s="14"/>
      <c r="C598" s="14"/>
      <c r="D598" s="71"/>
      <c r="F598" s="84"/>
      <c r="T598" s="28"/>
      <c r="U598" s="29"/>
    </row>
    <row r="599" spans="1:21" s="27" customFormat="1" ht="38.1" customHeight="1" x14ac:dyDescent="0.2">
      <c r="A599" s="14"/>
      <c r="B599" s="383"/>
      <c r="C599" s="14"/>
      <c r="D599" s="71"/>
      <c r="F599" s="84"/>
      <c r="T599" s="28"/>
      <c r="U599" s="29"/>
    </row>
    <row r="600" spans="1:21" s="27" customFormat="1" ht="11.1" customHeight="1" x14ac:dyDescent="0.2">
      <c r="A600" s="14"/>
      <c r="B600" s="14"/>
      <c r="C600" s="14"/>
      <c r="D600" s="71"/>
      <c r="F600" s="84"/>
      <c r="T600" s="28"/>
      <c r="U600" s="29"/>
    </row>
    <row r="601" spans="1:21" s="27" customFormat="1" ht="63" customHeight="1" x14ac:dyDescent="0.2">
      <c r="A601" s="14"/>
      <c r="B601" s="383"/>
      <c r="C601" s="14"/>
      <c r="D601" s="71"/>
      <c r="F601" s="84"/>
      <c r="T601" s="28"/>
      <c r="U601" s="29"/>
    </row>
    <row r="602" spans="1:21" s="27" customFormat="1" ht="11.1" customHeight="1" x14ac:dyDescent="0.2">
      <c r="A602" s="14"/>
      <c r="B602" s="14"/>
      <c r="C602" s="14"/>
      <c r="D602" s="71"/>
      <c r="F602" s="84"/>
      <c r="T602" s="28"/>
      <c r="U602" s="29"/>
    </row>
    <row r="603" spans="1:21" s="27" customFormat="1" ht="24.95" customHeight="1" x14ac:dyDescent="0.2">
      <c r="A603" s="14"/>
      <c r="B603" s="383"/>
      <c r="C603" s="14"/>
      <c r="D603" s="71"/>
      <c r="F603" s="84"/>
      <c r="T603" s="28"/>
      <c r="U603" s="29"/>
    </row>
    <row r="604" spans="1:21" s="27" customFormat="1" ht="11.1" customHeight="1" x14ac:dyDescent="0.2">
      <c r="A604" s="14"/>
      <c r="B604" s="14"/>
      <c r="C604" s="14"/>
      <c r="D604" s="71"/>
      <c r="F604" s="84"/>
      <c r="T604" s="28"/>
      <c r="U604" s="29"/>
    </row>
    <row r="605" spans="1:21" s="27" customFormat="1" ht="12" customHeight="1" x14ac:dyDescent="0.2">
      <c r="A605" s="384"/>
      <c r="B605" s="385"/>
      <c r="C605" s="14"/>
      <c r="D605" s="71"/>
      <c r="F605" s="84"/>
      <c r="T605" s="28"/>
      <c r="U605" s="29"/>
    </row>
    <row r="606" spans="1:21" s="27" customFormat="1" ht="33.950000000000003" customHeight="1" x14ac:dyDescent="0.2">
      <c r="A606" s="14"/>
      <c r="B606" s="14"/>
      <c r="C606" s="14"/>
      <c r="D606" s="71"/>
      <c r="F606" s="84"/>
      <c r="T606" s="28"/>
      <c r="U606" s="29"/>
    </row>
    <row r="607" spans="1:21" s="27" customFormat="1" ht="11.1" customHeight="1" x14ac:dyDescent="0.2">
      <c r="A607" s="14"/>
      <c r="B607" s="14"/>
      <c r="C607" s="14"/>
      <c r="D607" s="71"/>
      <c r="F607" s="84"/>
      <c r="T607" s="28"/>
      <c r="U607" s="29"/>
    </row>
    <row r="608" spans="1:21" s="27" customFormat="1" ht="75.95" customHeight="1" x14ac:dyDescent="0.2">
      <c r="A608" s="14"/>
      <c r="B608" s="383"/>
      <c r="C608" s="14"/>
      <c r="D608" s="71"/>
      <c r="F608" s="84"/>
      <c r="T608" s="28"/>
      <c r="U608" s="29"/>
    </row>
    <row r="609" spans="1:21" s="27" customFormat="1" ht="11.1" customHeight="1" x14ac:dyDescent="0.2">
      <c r="A609" s="14"/>
      <c r="B609" s="14"/>
      <c r="C609" s="14"/>
      <c r="D609" s="71"/>
      <c r="F609" s="84"/>
      <c r="T609" s="28"/>
      <c r="U609" s="29"/>
    </row>
    <row r="610" spans="1:21" s="27" customFormat="1" ht="24.95" customHeight="1" x14ac:dyDescent="0.2">
      <c r="A610" s="14"/>
      <c r="B610" s="383"/>
      <c r="C610" s="14"/>
      <c r="D610" s="71"/>
      <c r="F610" s="84"/>
      <c r="T610" s="28"/>
      <c r="U610" s="29"/>
    </row>
    <row r="611" spans="1:21" s="27" customFormat="1" ht="11.1" customHeight="1" x14ac:dyDescent="0.2">
      <c r="A611" s="14"/>
      <c r="B611" s="14"/>
      <c r="C611" s="14"/>
      <c r="D611" s="71"/>
      <c r="F611" s="84"/>
      <c r="T611" s="28"/>
      <c r="U611" s="29"/>
    </row>
    <row r="612" spans="1:21" s="27" customFormat="1" ht="39" customHeight="1" x14ac:dyDescent="0.2">
      <c r="A612" s="14"/>
      <c r="B612" s="383"/>
      <c r="C612" s="14"/>
      <c r="D612" s="71"/>
      <c r="F612" s="84"/>
      <c r="T612" s="28"/>
      <c r="U612" s="29"/>
    </row>
    <row r="613" spans="1:21" s="27" customFormat="1" ht="11.1" customHeight="1" x14ac:dyDescent="0.2">
      <c r="A613" s="14"/>
      <c r="B613" s="14"/>
      <c r="C613" s="14"/>
      <c r="D613" s="71"/>
      <c r="F613" s="84"/>
      <c r="T613" s="28"/>
      <c r="U613" s="29"/>
    </row>
    <row r="614" spans="1:21" s="27" customFormat="1" ht="11.1" customHeight="1" x14ac:dyDescent="0.2">
      <c r="A614" s="14"/>
      <c r="B614" s="14"/>
      <c r="C614" s="14"/>
      <c r="D614" s="71"/>
      <c r="F614" s="84"/>
      <c r="T614" s="28"/>
      <c r="U614" s="29"/>
    </row>
    <row r="615" spans="1:21" s="27" customFormat="1" ht="12" customHeight="1" x14ac:dyDescent="0.2">
      <c r="A615" s="384"/>
      <c r="B615" s="385"/>
      <c r="C615" s="14"/>
      <c r="D615" s="71"/>
      <c r="F615" s="84"/>
      <c r="T615" s="28"/>
      <c r="U615" s="29"/>
    </row>
    <row r="616" spans="1:21" s="27" customFormat="1" ht="38.1" customHeight="1" x14ac:dyDescent="0.2">
      <c r="A616" s="14"/>
      <c r="B616" s="383"/>
      <c r="C616" s="14"/>
      <c r="D616" s="71"/>
      <c r="F616" s="84"/>
      <c r="T616" s="28"/>
      <c r="U616" s="29"/>
    </row>
    <row r="617" spans="1:21" s="27" customFormat="1" ht="11.1" customHeight="1" x14ac:dyDescent="0.2">
      <c r="A617" s="14"/>
      <c r="B617" s="14"/>
      <c r="C617" s="14"/>
      <c r="D617" s="71"/>
      <c r="F617" s="84"/>
      <c r="T617" s="28"/>
      <c r="U617" s="29"/>
    </row>
    <row r="618" spans="1:21" s="27" customFormat="1" ht="21.95" customHeight="1" x14ac:dyDescent="0.2">
      <c r="A618" s="386"/>
      <c r="B618" s="387"/>
      <c r="C618" s="15"/>
      <c r="D618" s="71"/>
      <c r="F618" s="84"/>
      <c r="T618" s="28"/>
      <c r="U618" s="29"/>
    </row>
    <row r="619" spans="1:21" s="27" customFormat="1" ht="75.95" customHeight="1" x14ac:dyDescent="0.2">
      <c r="A619" s="14"/>
      <c r="B619" s="14"/>
      <c r="C619" s="14"/>
      <c r="D619" s="71"/>
      <c r="F619" s="84"/>
      <c r="T619" s="28"/>
      <c r="U619" s="29"/>
    </row>
    <row r="620" spans="1:21" s="27" customFormat="1" ht="11.1" customHeight="1" x14ac:dyDescent="0.2">
      <c r="A620" s="14"/>
      <c r="B620" s="14"/>
      <c r="C620" s="14"/>
      <c r="D620" s="71"/>
      <c r="F620" s="84"/>
      <c r="T620" s="28"/>
      <c r="U620" s="29"/>
    </row>
    <row r="621" spans="1:21" s="27" customFormat="1" ht="12" customHeight="1" x14ac:dyDescent="0.2">
      <c r="A621" s="14"/>
      <c r="B621" s="383"/>
      <c r="C621" s="14"/>
      <c r="D621" s="71"/>
      <c r="F621" s="84"/>
      <c r="T621" s="28"/>
      <c r="U621" s="29"/>
    </row>
    <row r="622" spans="1:21" s="27" customFormat="1" ht="9.9499999999999993" customHeight="1" x14ac:dyDescent="0.2">
      <c r="A622" s="14"/>
      <c r="B622" s="14"/>
      <c r="C622" s="14"/>
      <c r="D622" s="71"/>
      <c r="F622" s="84"/>
      <c r="T622" s="28"/>
      <c r="U622" s="29"/>
    </row>
    <row r="623" spans="1:21" s="27" customFormat="1" ht="24.95" customHeight="1" x14ac:dyDescent="0.2">
      <c r="A623" s="14"/>
      <c r="B623" s="383"/>
      <c r="C623" s="14"/>
      <c r="D623" s="71"/>
      <c r="F623" s="84"/>
      <c r="T623" s="28"/>
      <c r="U623" s="29"/>
    </row>
    <row r="624" spans="1:21" s="27" customFormat="1" ht="11.1" customHeight="1" x14ac:dyDescent="0.2">
      <c r="A624" s="14"/>
      <c r="B624" s="14"/>
      <c r="C624" s="14"/>
      <c r="D624" s="71"/>
      <c r="F624" s="84"/>
      <c r="T624" s="28"/>
      <c r="U624" s="29"/>
    </row>
    <row r="625" spans="1:21" s="27" customFormat="1" ht="12" customHeight="1" x14ac:dyDescent="0.2">
      <c r="A625" s="389"/>
      <c r="B625" s="385"/>
      <c r="C625" s="14"/>
      <c r="D625" s="71"/>
      <c r="F625" s="84"/>
      <c r="T625" s="28"/>
      <c r="U625" s="29"/>
    </row>
    <row r="626" spans="1:21" s="27" customFormat="1" ht="51" customHeight="1" x14ac:dyDescent="0.2">
      <c r="A626" s="14"/>
      <c r="B626" s="383"/>
      <c r="C626" s="14"/>
      <c r="D626" s="71"/>
      <c r="F626" s="84"/>
      <c r="T626" s="28"/>
      <c r="U626" s="29"/>
    </row>
    <row r="627" spans="1:21" s="27" customFormat="1" ht="11.1" customHeight="1" x14ac:dyDescent="0.2">
      <c r="A627" s="14"/>
      <c r="B627" s="14"/>
      <c r="C627" s="14"/>
      <c r="D627" s="71"/>
      <c r="F627" s="84"/>
      <c r="T627" s="28"/>
      <c r="U627" s="29"/>
    </row>
    <row r="628" spans="1:21" s="27" customFormat="1" ht="12" customHeight="1" x14ac:dyDescent="0.2">
      <c r="A628" s="14"/>
      <c r="B628" s="383"/>
      <c r="C628" s="14"/>
      <c r="D628" s="71"/>
      <c r="F628" s="84"/>
      <c r="T628" s="28"/>
      <c r="U628" s="29"/>
    </row>
    <row r="629" spans="1:21" s="27" customFormat="1" ht="11.1" customHeight="1" x14ac:dyDescent="0.2">
      <c r="A629" s="14"/>
      <c r="B629" s="14"/>
      <c r="C629" s="14"/>
      <c r="D629" s="71"/>
      <c r="F629" s="84"/>
      <c r="T629" s="28"/>
      <c r="U629" s="29"/>
    </row>
    <row r="630" spans="1:21" s="27" customFormat="1" ht="38.1" customHeight="1" x14ac:dyDescent="0.2">
      <c r="A630" s="14"/>
      <c r="B630" s="383"/>
      <c r="C630" s="14"/>
      <c r="D630" s="71"/>
      <c r="F630" s="84"/>
      <c r="T630" s="28"/>
      <c r="U630" s="29"/>
    </row>
    <row r="631" spans="1:21" s="27" customFormat="1" ht="11.1" customHeight="1" x14ac:dyDescent="0.2">
      <c r="A631" s="14"/>
      <c r="B631" s="14"/>
      <c r="C631" s="14"/>
      <c r="D631" s="71"/>
      <c r="F631" s="84"/>
      <c r="T631" s="28"/>
      <c r="U631" s="29"/>
    </row>
    <row r="632" spans="1:21" s="27" customFormat="1" ht="12" customHeight="1" x14ac:dyDescent="0.2">
      <c r="A632" s="389"/>
      <c r="B632" s="385"/>
      <c r="C632" s="14"/>
      <c r="D632" s="71"/>
      <c r="F632" s="84"/>
      <c r="T632" s="28"/>
      <c r="U632" s="29"/>
    </row>
    <row r="633" spans="1:21" s="27" customFormat="1" ht="53.1" customHeight="1" x14ac:dyDescent="0.2">
      <c r="A633" s="14"/>
      <c r="B633" s="383"/>
      <c r="C633" s="14"/>
      <c r="D633" s="71"/>
      <c r="F633" s="84"/>
      <c r="T633" s="28"/>
      <c r="U633" s="29"/>
    </row>
    <row r="634" spans="1:21" s="27" customFormat="1" ht="11.1" customHeight="1" x14ac:dyDescent="0.2">
      <c r="A634" s="14"/>
      <c r="B634" s="14"/>
      <c r="C634" s="14"/>
      <c r="D634" s="71"/>
      <c r="F634" s="84"/>
      <c r="T634" s="28"/>
      <c r="U634" s="29"/>
    </row>
    <row r="635" spans="1:21" s="27" customFormat="1" ht="48" customHeight="1" x14ac:dyDescent="0.2">
      <c r="A635" s="14"/>
      <c r="B635" s="383"/>
      <c r="C635" s="14"/>
      <c r="D635" s="71"/>
      <c r="F635" s="84"/>
      <c r="T635" s="28"/>
      <c r="U635" s="29"/>
    </row>
    <row r="636" spans="1:21" s="27" customFormat="1" ht="11.1" customHeight="1" x14ac:dyDescent="0.2">
      <c r="A636" s="14"/>
      <c r="B636" s="14"/>
      <c r="C636" s="14"/>
      <c r="D636" s="71"/>
      <c r="F636" s="84"/>
      <c r="T636" s="28"/>
      <c r="U636" s="29"/>
    </row>
    <row r="637" spans="1:21" s="27" customFormat="1" ht="12" customHeight="1" x14ac:dyDescent="0.2">
      <c r="A637" s="14"/>
      <c r="B637" s="383"/>
      <c r="C637" s="14"/>
      <c r="D637" s="71"/>
      <c r="F637" s="84"/>
      <c r="T637" s="28"/>
      <c r="U637" s="29"/>
    </row>
    <row r="638" spans="1:21" s="27" customFormat="1" ht="11.1" customHeight="1" x14ac:dyDescent="0.2">
      <c r="A638" s="14"/>
      <c r="B638" s="14"/>
      <c r="C638" s="14"/>
      <c r="D638" s="71"/>
      <c r="F638" s="84"/>
      <c r="T638" s="28"/>
      <c r="U638" s="29"/>
    </row>
    <row r="639" spans="1:21" s="27" customFormat="1" ht="24.95" customHeight="1" x14ac:dyDescent="0.2">
      <c r="A639" s="14"/>
      <c r="B639" s="383"/>
      <c r="C639" s="14"/>
      <c r="D639" s="71"/>
      <c r="F639" s="84"/>
      <c r="T639" s="28"/>
      <c r="U639" s="29"/>
    </row>
    <row r="640" spans="1:21" s="27" customFormat="1" ht="11.1" customHeight="1" x14ac:dyDescent="0.2">
      <c r="A640" s="14"/>
      <c r="B640" s="14"/>
      <c r="C640" s="14"/>
      <c r="D640" s="71"/>
      <c r="F640" s="84"/>
      <c r="T640" s="28"/>
      <c r="U640" s="29"/>
    </row>
    <row r="641" spans="1:21" s="27" customFormat="1" ht="38.1" customHeight="1" x14ac:dyDescent="0.2">
      <c r="A641" s="14"/>
      <c r="B641" s="383"/>
      <c r="C641" s="14"/>
      <c r="D641" s="71"/>
      <c r="F641" s="84"/>
      <c r="T641" s="28"/>
      <c r="U641" s="29"/>
    </row>
    <row r="642" spans="1:21" s="27" customFormat="1" ht="11.1" customHeight="1" x14ac:dyDescent="0.2">
      <c r="A642" s="14"/>
      <c r="B642" s="14"/>
      <c r="C642" s="14"/>
      <c r="D642" s="71"/>
      <c r="F642" s="84"/>
      <c r="T642" s="28"/>
      <c r="U642" s="29"/>
    </row>
    <row r="643" spans="1:21" s="27" customFormat="1" ht="38.1" customHeight="1" x14ac:dyDescent="0.2">
      <c r="A643" s="14"/>
      <c r="B643" s="383"/>
      <c r="C643" s="14"/>
      <c r="D643" s="71"/>
      <c r="F643" s="84"/>
      <c r="T643" s="28"/>
      <c r="U643" s="29"/>
    </row>
    <row r="644" spans="1:21" s="27" customFormat="1" ht="11.1" customHeight="1" x14ac:dyDescent="0.2">
      <c r="A644" s="14"/>
      <c r="B644" s="14"/>
      <c r="C644" s="14"/>
      <c r="D644" s="71"/>
      <c r="F644" s="84"/>
      <c r="T644" s="28"/>
      <c r="U644" s="29"/>
    </row>
    <row r="645" spans="1:21" s="27" customFormat="1" ht="38.1" customHeight="1" x14ac:dyDescent="0.2">
      <c r="A645" s="14"/>
      <c r="B645" s="383"/>
      <c r="C645" s="14"/>
      <c r="D645" s="71"/>
      <c r="F645" s="84"/>
      <c r="T645" s="28"/>
      <c r="U645" s="29"/>
    </row>
    <row r="646" spans="1:21" s="27" customFormat="1" ht="11.1" customHeight="1" x14ac:dyDescent="0.2">
      <c r="A646" s="14"/>
      <c r="B646" s="14"/>
      <c r="C646" s="14"/>
      <c r="D646" s="71"/>
      <c r="F646" s="84"/>
      <c r="T646" s="28"/>
      <c r="U646" s="29"/>
    </row>
    <row r="647" spans="1:21" s="27" customFormat="1" ht="21.95" customHeight="1" x14ac:dyDescent="0.2">
      <c r="A647" s="386"/>
      <c r="B647" s="387"/>
      <c r="C647" s="15"/>
      <c r="D647" s="71"/>
      <c r="F647" s="84"/>
      <c r="T647" s="28"/>
      <c r="U647" s="29"/>
    </row>
    <row r="648" spans="1:21" s="27" customFormat="1" ht="38.1" customHeight="1" x14ac:dyDescent="0.2">
      <c r="A648" s="14"/>
      <c r="B648" s="383"/>
      <c r="C648" s="14"/>
      <c r="D648" s="71"/>
      <c r="F648" s="84"/>
      <c r="T648" s="28"/>
      <c r="U648" s="29"/>
    </row>
    <row r="649" spans="1:21" s="27" customFormat="1" ht="11.1" customHeight="1" x14ac:dyDescent="0.2">
      <c r="A649" s="14"/>
      <c r="B649" s="14"/>
      <c r="C649" s="14"/>
      <c r="D649" s="71"/>
      <c r="F649" s="84"/>
      <c r="T649" s="28"/>
      <c r="U649" s="29"/>
    </row>
    <row r="650" spans="1:21" s="27" customFormat="1" ht="72.95" customHeight="1" x14ac:dyDescent="0.2">
      <c r="A650" s="14"/>
      <c r="B650" s="383"/>
      <c r="C650" s="14"/>
      <c r="D650" s="71"/>
      <c r="F650" s="84"/>
      <c r="T650" s="28"/>
      <c r="U650" s="29"/>
    </row>
    <row r="651" spans="1:21" s="27" customFormat="1" ht="11.1" customHeight="1" x14ac:dyDescent="0.2">
      <c r="A651" s="14"/>
      <c r="B651" s="14"/>
      <c r="C651" s="14"/>
      <c r="D651" s="71"/>
      <c r="F651" s="84"/>
      <c r="T651" s="28"/>
      <c r="U651" s="29"/>
    </row>
    <row r="652" spans="1:21" s="27" customFormat="1" ht="12" customHeight="1" x14ac:dyDescent="0.2">
      <c r="A652" s="389"/>
      <c r="B652" s="385"/>
      <c r="C652" s="14"/>
      <c r="D652" s="71"/>
      <c r="F652" s="84"/>
      <c r="T652" s="28"/>
      <c r="U652" s="29"/>
    </row>
    <row r="653" spans="1:21" s="27" customFormat="1" ht="51" customHeight="1" x14ac:dyDescent="0.2">
      <c r="A653" s="14"/>
      <c r="B653" s="383"/>
      <c r="C653" s="14"/>
      <c r="D653" s="71"/>
      <c r="F653" s="84"/>
      <c r="T653" s="28"/>
      <c r="U653" s="29"/>
    </row>
    <row r="654" spans="1:21" s="27" customFormat="1" ht="11.1" customHeight="1" x14ac:dyDescent="0.2">
      <c r="A654" s="14"/>
      <c r="B654" s="14"/>
      <c r="C654" s="14"/>
      <c r="D654" s="71"/>
      <c r="F654" s="84"/>
      <c r="T654" s="28"/>
      <c r="U654" s="29"/>
    </row>
    <row r="655" spans="1:21" s="27" customFormat="1" ht="24.95" customHeight="1" x14ac:dyDescent="0.2">
      <c r="A655" s="14"/>
      <c r="B655" s="383"/>
      <c r="C655" s="14"/>
      <c r="D655" s="71"/>
      <c r="F655" s="84"/>
      <c r="T655" s="28"/>
      <c r="U655" s="29"/>
    </row>
    <row r="656" spans="1:21" s="27" customFormat="1" ht="11.1" customHeight="1" x14ac:dyDescent="0.2">
      <c r="A656" s="14"/>
      <c r="B656" s="14"/>
      <c r="C656" s="14"/>
      <c r="D656" s="71"/>
      <c r="F656" s="84"/>
      <c r="T656" s="28"/>
      <c r="U656" s="29"/>
    </row>
    <row r="657" spans="1:21" s="27" customFormat="1" ht="12" customHeight="1" x14ac:dyDescent="0.2">
      <c r="A657" s="389"/>
      <c r="B657" s="385"/>
      <c r="C657" s="14"/>
      <c r="D657" s="71"/>
      <c r="F657" s="84"/>
      <c r="T657" s="28"/>
      <c r="U657" s="29"/>
    </row>
    <row r="658" spans="1:21" s="27" customFormat="1" ht="11.1" customHeight="1" x14ac:dyDescent="0.2">
      <c r="A658" s="14"/>
      <c r="B658" s="14"/>
      <c r="C658" s="14"/>
      <c r="D658" s="71"/>
      <c r="F658" s="84"/>
      <c r="T658" s="28"/>
      <c r="U658" s="29"/>
    </row>
    <row r="659" spans="1:21" s="27" customFormat="1" ht="63" customHeight="1" x14ac:dyDescent="0.2">
      <c r="A659" s="14"/>
      <c r="B659" s="14"/>
      <c r="C659" s="14"/>
      <c r="D659" s="71"/>
      <c r="F659" s="84"/>
      <c r="T659" s="28"/>
      <c r="U659" s="29"/>
    </row>
    <row r="660" spans="1:21" s="27" customFormat="1" ht="11.1" customHeight="1" x14ac:dyDescent="0.2">
      <c r="A660" s="14"/>
      <c r="B660" s="14"/>
      <c r="C660" s="14"/>
      <c r="D660" s="71"/>
      <c r="F660" s="84"/>
      <c r="T660" s="28"/>
      <c r="U660" s="29"/>
    </row>
    <row r="661" spans="1:21" s="27" customFormat="1" ht="26.1" customHeight="1" x14ac:dyDescent="0.2">
      <c r="A661" s="384"/>
      <c r="B661" s="383"/>
      <c r="C661" s="14"/>
      <c r="D661" s="71"/>
      <c r="F661" s="84"/>
      <c r="T661" s="28"/>
      <c r="U661" s="29"/>
    </row>
    <row r="662" spans="1:21" s="27" customFormat="1" ht="11.1" customHeight="1" x14ac:dyDescent="0.2">
      <c r="A662" s="14"/>
      <c r="B662" s="14"/>
      <c r="C662" s="14"/>
      <c r="D662" s="71"/>
      <c r="F662" s="84"/>
      <c r="T662" s="28"/>
      <c r="U662" s="29"/>
    </row>
    <row r="663" spans="1:21" s="27" customFormat="1" ht="12" customHeight="1" x14ac:dyDescent="0.2">
      <c r="A663" s="388"/>
      <c r="B663" s="385"/>
      <c r="C663" s="14"/>
      <c r="D663" s="71"/>
      <c r="F663" s="84"/>
      <c r="T663" s="28"/>
      <c r="U663" s="29"/>
    </row>
    <row r="664" spans="1:21" s="27" customFormat="1" ht="38.1" customHeight="1" x14ac:dyDescent="0.2">
      <c r="A664" s="14"/>
      <c r="B664" s="383"/>
      <c r="C664" s="14"/>
      <c r="D664" s="71"/>
      <c r="F664" s="84"/>
      <c r="T664" s="28"/>
      <c r="U664" s="29"/>
    </row>
    <row r="665" spans="1:21" s="27" customFormat="1" ht="11.1" customHeight="1" x14ac:dyDescent="0.2">
      <c r="A665" s="14"/>
      <c r="B665" s="14"/>
      <c r="C665" s="14"/>
      <c r="D665" s="71"/>
      <c r="F665" s="84"/>
      <c r="T665" s="28"/>
      <c r="U665" s="29"/>
    </row>
    <row r="666" spans="1:21" s="27" customFormat="1" ht="12" customHeight="1" x14ac:dyDescent="0.2">
      <c r="A666" s="388"/>
      <c r="B666" s="385"/>
      <c r="C666" s="14"/>
      <c r="D666" s="71"/>
      <c r="F666" s="84"/>
      <c r="T666" s="28"/>
      <c r="U666" s="29"/>
    </row>
    <row r="667" spans="1:21" s="27" customFormat="1" ht="51" customHeight="1" x14ac:dyDescent="0.2">
      <c r="A667" s="14"/>
      <c r="B667" s="383"/>
      <c r="C667" s="14"/>
      <c r="D667" s="71"/>
      <c r="F667" s="84"/>
      <c r="T667" s="28"/>
      <c r="U667" s="29"/>
    </row>
    <row r="668" spans="1:21" s="27" customFormat="1" ht="21.95" customHeight="1" x14ac:dyDescent="0.2">
      <c r="A668" s="386"/>
      <c r="B668" s="387"/>
      <c r="C668" s="15"/>
      <c r="D668" s="71"/>
      <c r="F668" s="84"/>
      <c r="T668" s="28"/>
      <c r="U668" s="29"/>
    </row>
    <row r="669" spans="1:21" s="27" customFormat="1" ht="11.1" customHeight="1" x14ac:dyDescent="0.2">
      <c r="A669" s="14"/>
      <c r="B669" s="14"/>
      <c r="C669" s="14"/>
      <c r="D669" s="71"/>
      <c r="F669" s="84"/>
      <c r="T669" s="28"/>
      <c r="U669" s="29"/>
    </row>
    <row r="670" spans="1:21" s="27" customFormat="1" ht="12" customHeight="1" x14ac:dyDescent="0.2">
      <c r="A670" s="14"/>
      <c r="B670" s="383"/>
      <c r="C670" s="14"/>
      <c r="D670" s="71"/>
      <c r="F670" s="84"/>
      <c r="T670" s="28"/>
      <c r="U670" s="29"/>
    </row>
    <row r="671" spans="1:21" s="27" customFormat="1" ht="11.1" customHeight="1" x14ac:dyDescent="0.2">
      <c r="A671" s="14"/>
      <c r="B671" s="14"/>
      <c r="C671" s="14"/>
      <c r="D671" s="71"/>
      <c r="F671" s="84"/>
      <c r="T671" s="28"/>
      <c r="U671" s="29"/>
    </row>
    <row r="672" spans="1:21" s="27" customFormat="1" ht="12" customHeight="1" x14ac:dyDescent="0.2">
      <c r="A672" s="14"/>
      <c r="B672" s="18"/>
      <c r="C672" s="14"/>
      <c r="D672" s="71"/>
      <c r="F672" s="84"/>
      <c r="T672" s="28"/>
      <c r="U672" s="29"/>
    </row>
    <row r="673" spans="1:21" s="27" customFormat="1" ht="11.1" customHeight="1" x14ac:dyDescent="0.2">
      <c r="A673" s="14"/>
      <c r="B673" s="14"/>
      <c r="C673" s="14"/>
      <c r="D673" s="71"/>
      <c r="F673" s="84"/>
      <c r="T673" s="28"/>
      <c r="U673" s="29"/>
    </row>
    <row r="674" spans="1:21" s="27" customFormat="1" ht="12" customHeight="1" x14ac:dyDescent="0.2">
      <c r="A674" s="384"/>
      <c r="B674" s="18"/>
      <c r="C674" s="14"/>
      <c r="D674" s="71"/>
      <c r="F674" s="84"/>
      <c r="T674" s="28"/>
      <c r="U674" s="29"/>
    </row>
    <row r="675" spans="1:21" s="27" customFormat="1" ht="63" customHeight="1" x14ac:dyDescent="0.2">
      <c r="A675" s="14"/>
      <c r="B675" s="383"/>
      <c r="C675" s="14"/>
      <c r="D675" s="71"/>
      <c r="F675" s="84"/>
      <c r="T675" s="28"/>
      <c r="U675" s="29"/>
    </row>
    <row r="676" spans="1:21" s="27" customFormat="1" ht="11.1" customHeight="1" x14ac:dyDescent="0.2">
      <c r="A676" s="14"/>
      <c r="B676" s="14"/>
      <c r="C676" s="14"/>
      <c r="D676" s="71"/>
      <c r="F676" s="84"/>
      <c r="T676" s="28"/>
      <c r="U676" s="29"/>
    </row>
    <row r="677" spans="1:21" s="27" customFormat="1" ht="12" customHeight="1" x14ac:dyDescent="0.2">
      <c r="A677" s="14"/>
      <c r="B677" s="18"/>
      <c r="C677" s="14"/>
      <c r="D677" s="71"/>
      <c r="F677" s="84"/>
      <c r="T677" s="28"/>
      <c r="U677" s="29"/>
    </row>
    <row r="678" spans="1:21" s="27" customFormat="1" ht="11.1" customHeight="1" x14ac:dyDescent="0.2">
      <c r="A678" s="14"/>
      <c r="B678" s="14"/>
      <c r="C678" s="14"/>
      <c r="D678" s="71"/>
      <c r="F678" s="84"/>
      <c r="T678" s="28"/>
      <c r="U678" s="29"/>
    </row>
    <row r="679" spans="1:21" s="27" customFormat="1" ht="12" customHeight="1" x14ac:dyDescent="0.2">
      <c r="A679" s="384"/>
      <c r="B679" s="18"/>
      <c r="C679" s="14"/>
      <c r="D679" s="71"/>
      <c r="F679" s="84"/>
      <c r="T679" s="28"/>
      <c r="U679" s="29"/>
    </row>
    <row r="680" spans="1:21" s="27" customFormat="1" ht="113.1" customHeight="1" x14ac:dyDescent="0.2">
      <c r="A680" s="14"/>
      <c r="B680" s="383"/>
      <c r="C680" s="14"/>
      <c r="D680" s="71"/>
      <c r="F680" s="84"/>
      <c r="T680" s="28"/>
      <c r="U680" s="29"/>
    </row>
    <row r="681" spans="1:21" s="27" customFormat="1" ht="11.1" customHeight="1" x14ac:dyDescent="0.2">
      <c r="A681" s="14"/>
      <c r="B681" s="14"/>
      <c r="C681" s="14"/>
      <c r="D681" s="71"/>
      <c r="F681" s="84"/>
      <c r="T681" s="28"/>
      <c r="U681" s="29"/>
    </row>
    <row r="682" spans="1:21" s="27" customFormat="1" ht="11.1" customHeight="1" x14ac:dyDescent="0.2">
      <c r="A682" s="389"/>
      <c r="B682" s="385"/>
      <c r="C682" s="14"/>
      <c r="D682" s="71"/>
      <c r="F682" s="84"/>
      <c r="T682" s="28"/>
      <c r="U682" s="29"/>
    </row>
    <row r="683" spans="1:21" s="27" customFormat="1" ht="89.1" customHeight="1" x14ac:dyDescent="0.2">
      <c r="A683" s="14"/>
      <c r="B683" s="383"/>
      <c r="C683" s="14"/>
      <c r="D683" s="71"/>
      <c r="F683" s="84"/>
      <c r="T683" s="28"/>
      <c r="U683" s="29"/>
    </row>
    <row r="684" spans="1:21" s="27" customFormat="1" ht="11.1" customHeight="1" x14ac:dyDescent="0.2">
      <c r="A684" s="14"/>
      <c r="B684" s="14"/>
      <c r="C684" s="14"/>
      <c r="D684" s="71"/>
      <c r="F684" s="84"/>
      <c r="T684" s="28"/>
      <c r="U684" s="29"/>
    </row>
    <row r="685" spans="1:21" s="27" customFormat="1" ht="38.1" customHeight="1" x14ac:dyDescent="0.2">
      <c r="A685" s="14"/>
      <c r="B685" s="383"/>
      <c r="C685" s="14"/>
      <c r="D685" s="71"/>
      <c r="F685" s="84"/>
      <c r="T685" s="28"/>
      <c r="U685" s="29"/>
    </row>
    <row r="686" spans="1:21" s="27" customFormat="1" ht="11.1" customHeight="1" x14ac:dyDescent="0.2">
      <c r="A686" s="14"/>
      <c r="B686" s="14"/>
      <c r="C686" s="14"/>
      <c r="D686" s="71"/>
      <c r="F686" s="84"/>
      <c r="T686" s="28"/>
      <c r="U686" s="29"/>
    </row>
    <row r="687" spans="1:21" s="27" customFormat="1" ht="12" customHeight="1" x14ac:dyDescent="0.2">
      <c r="A687" s="14"/>
      <c r="B687" s="383"/>
      <c r="C687" s="14"/>
      <c r="D687" s="71"/>
      <c r="F687" s="84"/>
      <c r="T687" s="28"/>
      <c r="U687" s="29"/>
    </row>
    <row r="688" spans="1:21" s="27" customFormat="1" ht="11.1" customHeight="1" x14ac:dyDescent="0.2">
      <c r="A688" s="14"/>
      <c r="B688" s="14"/>
      <c r="C688" s="14"/>
      <c r="D688" s="71"/>
      <c r="F688" s="84"/>
      <c r="T688" s="28"/>
      <c r="U688" s="29"/>
    </row>
    <row r="689" spans="1:21" s="27" customFormat="1" ht="12" customHeight="1" x14ac:dyDescent="0.2">
      <c r="A689" s="14"/>
      <c r="B689" s="18"/>
      <c r="C689" s="14"/>
      <c r="D689" s="71"/>
      <c r="F689" s="84"/>
      <c r="T689" s="28"/>
      <c r="U689" s="29"/>
    </row>
    <row r="690" spans="1:21" s="27" customFormat="1" ht="11.1" customHeight="1" x14ac:dyDescent="0.2">
      <c r="A690" s="14"/>
      <c r="B690" s="14"/>
      <c r="C690" s="14"/>
      <c r="D690" s="71"/>
      <c r="F690" s="84"/>
      <c r="T690" s="28"/>
      <c r="U690" s="29"/>
    </row>
    <row r="691" spans="1:21" s="27" customFormat="1" ht="11.1" customHeight="1" x14ac:dyDescent="0.2">
      <c r="A691" s="14"/>
      <c r="B691" s="14"/>
      <c r="C691" s="14"/>
      <c r="D691" s="71"/>
      <c r="F691" s="84"/>
      <c r="T691" s="28"/>
      <c r="U691" s="29"/>
    </row>
    <row r="692" spans="1:21" s="27" customFormat="1" ht="11.1" customHeight="1" x14ac:dyDescent="0.2">
      <c r="A692" s="384"/>
      <c r="B692" s="18"/>
      <c r="C692" s="14"/>
      <c r="D692" s="71"/>
      <c r="F692" s="84"/>
      <c r="T692" s="28"/>
      <c r="U692" s="29"/>
    </row>
    <row r="693" spans="1:21" s="27" customFormat="1" ht="39" customHeight="1" x14ac:dyDescent="0.2">
      <c r="A693" s="14"/>
      <c r="B693" s="383"/>
      <c r="C693" s="14"/>
      <c r="D693" s="71"/>
      <c r="F693" s="84"/>
      <c r="T693" s="28"/>
      <c r="U693" s="29"/>
    </row>
    <row r="694" spans="1:21" s="27" customFormat="1" ht="11.1" customHeight="1" x14ac:dyDescent="0.2">
      <c r="A694" s="14"/>
      <c r="B694" s="14"/>
      <c r="C694" s="14"/>
      <c r="D694" s="71"/>
      <c r="F694" s="84"/>
      <c r="T694" s="28"/>
      <c r="U694" s="29"/>
    </row>
    <row r="695" spans="1:21" s="27" customFormat="1" ht="39" customHeight="1" x14ac:dyDescent="0.2">
      <c r="A695" s="14"/>
      <c r="B695" s="383"/>
      <c r="C695" s="14"/>
      <c r="D695" s="71"/>
      <c r="F695" s="84"/>
      <c r="T695" s="28"/>
      <c r="U695" s="29"/>
    </row>
    <row r="696" spans="1:21" s="27" customFormat="1" ht="21.95" customHeight="1" x14ac:dyDescent="0.2">
      <c r="A696" s="386"/>
      <c r="B696" s="387"/>
      <c r="C696" s="15"/>
      <c r="D696" s="71"/>
      <c r="F696" s="84"/>
      <c r="T696" s="28"/>
      <c r="U696" s="29"/>
    </row>
    <row r="697" spans="1:21" s="27" customFormat="1" ht="11.1" customHeight="1" x14ac:dyDescent="0.2">
      <c r="A697" s="14"/>
      <c r="B697" s="14"/>
      <c r="C697" s="14"/>
      <c r="D697" s="71"/>
      <c r="F697" s="84"/>
      <c r="T697" s="28"/>
      <c r="U697" s="29"/>
    </row>
    <row r="698" spans="1:21" s="27" customFormat="1" ht="39" customHeight="1" x14ac:dyDescent="0.2">
      <c r="A698" s="14"/>
      <c r="B698" s="383"/>
      <c r="C698" s="14"/>
      <c r="D698" s="71"/>
      <c r="F698" s="84"/>
      <c r="T698" s="28"/>
      <c r="U698" s="29"/>
    </row>
    <row r="699" spans="1:21" s="27" customFormat="1" ht="11.1" customHeight="1" x14ac:dyDescent="0.2">
      <c r="A699" s="14"/>
      <c r="B699" s="14"/>
      <c r="C699" s="14"/>
      <c r="D699" s="71"/>
      <c r="F699" s="84"/>
      <c r="T699" s="28"/>
      <c r="U699" s="29"/>
    </row>
    <row r="700" spans="1:21" s="27" customFormat="1" ht="39" customHeight="1" x14ac:dyDescent="0.2">
      <c r="A700" s="14"/>
      <c r="B700" s="383"/>
      <c r="C700" s="14"/>
      <c r="D700" s="71"/>
      <c r="F700" s="84"/>
      <c r="T700" s="28"/>
      <c r="U700" s="29"/>
    </row>
    <row r="701" spans="1:21" s="27" customFormat="1" ht="11.1" customHeight="1" x14ac:dyDescent="0.2">
      <c r="A701" s="14"/>
      <c r="B701" s="14"/>
      <c r="C701" s="14"/>
      <c r="D701" s="71"/>
      <c r="F701" s="84"/>
      <c r="T701" s="28"/>
      <c r="U701" s="29"/>
    </row>
    <row r="702" spans="1:21" s="27" customFormat="1" ht="39" customHeight="1" x14ac:dyDescent="0.2">
      <c r="A702" s="14"/>
      <c r="B702" s="383"/>
      <c r="C702" s="14"/>
      <c r="D702" s="71"/>
      <c r="F702" s="84"/>
      <c r="T702" s="28"/>
      <c r="U702" s="29"/>
    </row>
    <row r="703" spans="1:21" s="27" customFormat="1" ht="11.1" customHeight="1" x14ac:dyDescent="0.2">
      <c r="A703" s="14"/>
      <c r="B703" s="14"/>
      <c r="C703" s="14"/>
      <c r="D703" s="71"/>
      <c r="F703" s="84"/>
      <c r="T703" s="28"/>
      <c r="U703" s="29"/>
    </row>
    <row r="704" spans="1:21" s="27" customFormat="1" ht="12" customHeight="1" x14ac:dyDescent="0.2">
      <c r="A704" s="14"/>
      <c r="B704" s="18"/>
      <c r="C704" s="14"/>
      <c r="D704" s="71"/>
      <c r="F704" s="84"/>
      <c r="T704" s="28"/>
      <c r="U704" s="29"/>
    </row>
    <row r="705" spans="1:21" s="27" customFormat="1" ht="11.1" customHeight="1" x14ac:dyDescent="0.2">
      <c r="A705" s="14"/>
      <c r="B705" s="14"/>
      <c r="C705" s="14"/>
      <c r="D705" s="71"/>
      <c r="F705" s="84"/>
      <c r="T705" s="28"/>
      <c r="U705" s="29"/>
    </row>
    <row r="706" spans="1:21" s="27" customFormat="1" ht="12" customHeight="1" x14ac:dyDescent="0.2">
      <c r="A706" s="384"/>
      <c r="B706" s="18"/>
      <c r="C706" s="14"/>
      <c r="D706" s="71"/>
      <c r="F706" s="84"/>
      <c r="T706" s="28"/>
      <c r="U706" s="29"/>
    </row>
    <row r="707" spans="1:21" s="27" customFormat="1" ht="38.1" customHeight="1" x14ac:dyDescent="0.2">
      <c r="A707" s="14"/>
      <c r="B707" s="383"/>
      <c r="C707" s="14"/>
      <c r="D707" s="71"/>
      <c r="F707" s="84"/>
      <c r="T707" s="28"/>
      <c r="U707" s="29"/>
    </row>
    <row r="708" spans="1:21" s="27" customFormat="1" ht="11.1" customHeight="1" x14ac:dyDescent="0.2">
      <c r="A708" s="14"/>
      <c r="B708" s="14"/>
      <c r="C708" s="14"/>
      <c r="D708" s="71"/>
      <c r="F708" s="84"/>
      <c r="T708" s="28"/>
      <c r="U708" s="29"/>
    </row>
    <row r="709" spans="1:21" s="27" customFormat="1" ht="38.1" customHeight="1" x14ac:dyDescent="0.2">
      <c r="A709" s="14"/>
      <c r="B709" s="14"/>
      <c r="C709" s="14"/>
      <c r="D709" s="71"/>
      <c r="F709" s="84"/>
      <c r="T709" s="28"/>
      <c r="U709" s="29"/>
    </row>
    <row r="710" spans="1:21" s="27" customFormat="1" ht="11.1" customHeight="1" x14ac:dyDescent="0.2">
      <c r="A710" s="14"/>
      <c r="B710" s="14"/>
      <c r="C710" s="14"/>
      <c r="D710" s="71"/>
      <c r="F710" s="84"/>
      <c r="T710" s="28"/>
      <c r="U710" s="29"/>
    </row>
    <row r="711" spans="1:21" s="27" customFormat="1" ht="89.1" customHeight="1" x14ac:dyDescent="0.2">
      <c r="A711" s="14"/>
      <c r="B711" s="383"/>
      <c r="C711" s="14"/>
      <c r="D711" s="71"/>
      <c r="F711" s="84"/>
      <c r="T711" s="28"/>
      <c r="U711" s="29"/>
    </row>
    <row r="712" spans="1:21" s="27" customFormat="1" ht="11.1" customHeight="1" x14ac:dyDescent="0.2">
      <c r="A712" s="14"/>
      <c r="B712" s="14"/>
      <c r="C712" s="14"/>
      <c r="D712" s="71"/>
      <c r="F712" s="84"/>
      <c r="T712" s="28"/>
      <c r="U712" s="29"/>
    </row>
    <row r="713" spans="1:21" s="27" customFormat="1" ht="75.95" customHeight="1" x14ac:dyDescent="0.2">
      <c r="A713" s="14"/>
      <c r="B713" s="383"/>
      <c r="C713" s="14"/>
      <c r="D713" s="71"/>
      <c r="F713" s="84"/>
      <c r="T713" s="28"/>
      <c r="U713" s="29"/>
    </row>
    <row r="714" spans="1:21" s="27" customFormat="1" ht="11.1" customHeight="1" x14ac:dyDescent="0.2">
      <c r="A714" s="14"/>
      <c r="B714" s="14"/>
      <c r="C714" s="14"/>
      <c r="D714" s="71"/>
      <c r="F714" s="84"/>
      <c r="T714" s="28"/>
      <c r="U714" s="29"/>
    </row>
    <row r="715" spans="1:21" s="27" customFormat="1" ht="12" customHeight="1" x14ac:dyDescent="0.2">
      <c r="A715" s="14"/>
      <c r="B715" s="18"/>
      <c r="C715" s="14"/>
      <c r="D715" s="71"/>
      <c r="F715" s="84"/>
      <c r="T715" s="28"/>
      <c r="U715" s="29"/>
    </row>
    <row r="716" spans="1:21" s="27" customFormat="1" ht="11.1" customHeight="1" x14ac:dyDescent="0.2">
      <c r="A716" s="14"/>
      <c r="B716" s="14"/>
      <c r="C716" s="14"/>
      <c r="D716" s="71"/>
      <c r="F716" s="84"/>
      <c r="T716" s="28"/>
      <c r="U716" s="29"/>
    </row>
    <row r="717" spans="1:21" s="27" customFormat="1" ht="12" customHeight="1" x14ac:dyDescent="0.2">
      <c r="A717" s="384"/>
      <c r="B717" s="18"/>
      <c r="C717" s="14"/>
      <c r="D717" s="71"/>
      <c r="F717" s="84"/>
      <c r="T717" s="28"/>
      <c r="U717" s="29"/>
    </row>
    <row r="718" spans="1:21" s="27" customFormat="1" ht="101.1" customHeight="1" x14ac:dyDescent="0.2">
      <c r="A718" s="14"/>
      <c r="B718" s="383"/>
      <c r="C718" s="14"/>
      <c r="D718" s="71"/>
      <c r="F718" s="84"/>
      <c r="T718" s="28"/>
      <c r="U718" s="29"/>
    </row>
    <row r="719" spans="1:21" s="27" customFormat="1" ht="11.1" customHeight="1" x14ac:dyDescent="0.2">
      <c r="A719" s="14"/>
      <c r="B719" s="14"/>
      <c r="C719" s="14"/>
      <c r="D719" s="71"/>
      <c r="F719" s="84"/>
      <c r="T719" s="28"/>
      <c r="U719" s="29"/>
    </row>
    <row r="720" spans="1:21" s="27" customFormat="1" ht="21.95" customHeight="1" x14ac:dyDescent="0.2">
      <c r="A720" s="386"/>
      <c r="B720" s="387"/>
      <c r="C720" s="15"/>
      <c r="D720" s="71"/>
      <c r="F720" s="84"/>
      <c r="T720" s="28"/>
      <c r="U720" s="29"/>
    </row>
    <row r="721" spans="1:21" s="27" customFormat="1" ht="51" customHeight="1" x14ac:dyDescent="0.2">
      <c r="A721" s="14"/>
      <c r="B721" s="383"/>
      <c r="C721" s="14"/>
      <c r="D721" s="71"/>
      <c r="F721" s="84"/>
      <c r="T721" s="28"/>
      <c r="U721" s="29"/>
    </row>
    <row r="722" spans="1:21" s="27" customFormat="1" ht="11.1" customHeight="1" x14ac:dyDescent="0.2">
      <c r="A722" s="14"/>
      <c r="B722" s="14"/>
      <c r="C722" s="14"/>
      <c r="D722" s="71"/>
      <c r="F722" s="84"/>
      <c r="T722" s="28"/>
      <c r="U722" s="29"/>
    </row>
    <row r="723" spans="1:21" s="27" customFormat="1" ht="24.95" customHeight="1" x14ac:dyDescent="0.2">
      <c r="A723" s="14"/>
      <c r="B723" s="383"/>
      <c r="C723" s="14"/>
      <c r="D723" s="71"/>
      <c r="F723" s="84"/>
      <c r="T723" s="28"/>
      <c r="U723" s="29"/>
    </row>
    <row r="724" spans="1:21" s="27" customFormat="1" ht="11.1" customHeight="1" x14ac:dyDescent="0.2">
      <c r="A724" s="14"/>
      <c r="B724" s="14"/>
      <c r="C724" s="14"/>
      <c r="D724" s="71"/>
      <c r="F724" s="84"/>
      <c r="T724" s="28"/>
      <c r="U724" s="29"/>
    </row>
    <row r="725" spans="1:21" s="27" customFormat="1" ht="24.95" customHeight="1" x14ac:dyDescent="0.2">
      <c r="A725" s="14"/>
      <c r="B725" s="383"/>
      <c r="C725" s="14"/>
      <c r="D725" s="71"/>
      <c r="F725" s="84"/>
      <c r="T725" s="28"/>
      <c r="U725" s="29"/>
    </row>
    <row r="726" spans="1:21" s="27" customFormat="1" ht="11.1" customHeight="1" x14ac:dyDescent="0.2">
      <c r="A726" s="14"/>
      <c r="B726" s="14"/>
      <c r="C726" s="14"/>
      <c r="D726" s="71"/>
      <c r="F726" s="84"/>
      <c r="T726" s="28"/>
      <c r="U726" s="29"/>
    </row>
    <row r="727" spans="1:21" s="27" customFormat="1" ht="51" customHeight="1" x14ac:dyDescent="0.2">
      <c r="A727" s="14"/>
      <c r="B727" s="383"/>
      <c r="C727" s="14"/>
      <c r="D727" s="71"/>
      <c r="F727" s="84"/>
      <c r="T727" s="28"/>
      <c r="U727" s="29"/>
    </row>
    <row r="728" spans="1:21" s="27" customFormat="1" ht="11.1" customHeight="1" x14ac:dyDescent="0.2">
      <c r="A728" s="14"/>
      <c r="B728" s="14"/>
      <c r="C728" s="14"/>
      <c r="D728" s="71"/>
      <c r="F728" s="84"/>
      <c r="T728" s="28"/>
      <c r="U728" s="29"/>
    </row>
    <row r="729" spans="1:21" s="27" customFormat="1" ht="92.1" customHeight="1" x14ac:dyDescent="0.2">
      <c r="A729" s="14"/>
      <c r="B729" s="383"/>
      <c r="C729" s="14"/>
      <c r="D729" s="71"/>
      <c r="F729" s="84"/>
      <c r="T729" s="28"/>
      <c r="U729" s="29"/>
    </row>
    <row r="730" spans="1:21" s="27" customFormat="1" ht="11.1" customHeight="1" x14ac:dyDescent="0.2">
      <c r="A730" s="14"/>
      <c r="B730" s="14"/>
      <c r="C730" s="14"/>
      <c r="D730" s="71"/>
      <c r="F730" s="84"/>
      <c r="T730" s="28"/>
      <c r="U730" s="29"/>
    </row>
    <row r="731" spans="1:21" s="27" customFormat="1" ht="24.95" customHeight="1" x14ac:dyDescent="0.2">
      <c r="A731" s="14"/>
      <c r="B731" s="383"/>
      <c r="C731" s="14"/>
      <c r="D731" s="71"/>
      <c r="F731" s="84"/>
      <c r="T731" s="28"/>
      <c r="U731" s="29"/>
    </row>
    <row r="732" spans="1:21" s="27" customFormat="1" ht="11.1" customHeight="1" x14ac:dyDescent="0.2">
      <c r="A732" s="14"/>
      <c r="B732" s="14"/>
      <c r="C732" s="14"/>
      <c r="D732" s="71"/>
      <c r="F732" s="84"/>
      <c r="T732" s="28"/>
      <c r="U732" s="29"/>
    </row>
    <row r="733" spans="1:21" s="27" customFormat="1" ht="12" customHeight="1" x14ac:dyDescent="0.2">
      <c r="A733" s="14"/>
      <c r="B733" s="18"/>
      <c r="C733" s="14"/>
      <c r="D733" s="71"/>
      <c r="F733" s="84"/>
      <c r="T733" s="28"/>
      <c r="U733" s="29"/>
    </row>
    <row r="734" spans="1:21" s="27" customFormat="1" ht="11.1" customHeight="1" x14ac:dyDescent="0.2">
      <c r="A734" s="14"/>
      <c r="B734" s="14"/>
      <c r="C734" s="14"/>
      <c r="D734" s="71"/>
      <c r="F734" s="84"/>
      <c r="T734" s="28"/>
      <c r="U734" s="29"/>
    </row>
    <row r="735" spans="1:21" s="27" customFormat="1" ht="12" customHeight="1" x14ac:dyDescent="0.2">
      <c r="A735" s="384"/>
      <c r="B735" s="18"/>
      <c r="C735" s="14"/>
      <c r="D735" s="71"/>
      <c r="F735" s="84"/>
      <c r="T735" s="28"/>
      <c r="U735" s="29"/>
    </row>
    <row r="736" spans="1:21" s="27" customFormat="1" ht="24.95" customHeight="1" x14ac:dyDescent="0.2">
      <c r="A736" s="14"/>
      <c r="B736" s="383"/>
      <c r="C736" s="14"/>
      <c r="D736" s="71"/>
      <c r="F736" s="84"/>
      <c r="T736" s="28"/>
      <c r="U736" s="29"/>
    </row>
    <row r="737" spans="1:21" s="27" customFormat="1" ht="12" customHeight="1" x14ac:dyDescent="0.2">
      <c r="A737" s="14"/>
      <c r="B737" s="14"/>
      <c r="C737" s="14"/>
      <c r="D737" s="71"/>
      <c r="F737" s="84"/>
      <c r="T737" s="28"/>
      <c r="U737" s="29"/>
    </row>
    <row r="738" spans="1:21" s="27" customFormat="1" ht="63" customHeight="1" x14ac:dyDescent="0.2">
      <c r="A738" s="14"/>
      <c r="B738" s="383"/>
      <c r="C738" s="14"/>
      <c r="D738" s="71"/>
      <c r="F738" s="84"/>
      <c r="T738" s="28"/>
      <c r="U738" s="29"/>
    </row>
    <row r="739" spans="1:21" s="27" customFormat="1" ht="12" customHeight="1" x14ac:dyDescent="0.2">
      <c r="A739" s="14"/>
      <c r="B739" s="14"/>
      <c r="C739" s="14"/>
      <c r="D739" s="71"/>
      <c r="F739" s="84"/>
      <c r="T739" s="28"/>
      <c r="U739" s="29"/>
    </row>
    <row r="740" spans="1:21" s="27" customFormat="1" ht="12" customHeight="1" x14ac:dyDescent="0.2">
      <c r="A740" s="14"/>
      <c r="B740" s="18"/>
      <c r="C740" s="14"/>
      <c r="D740" s="71"/>
      <c r="F740" s="84"/>
      <c r="T740" s="28"/>
      <c r="U740" s="29"/>
    </row>
    <row r="741" spans="1:21" s="27" customFormat="1" ht="11.1" customHeight="1" x14ac:dyDescent="0.2">
      <c r="A741" s="14"/>
      <c r="B741" s="14"/>
      <c r="C741" s="14"/>
      <c r="D741" s="71"/>
      <c r="F741" s="84"/>
      <c r="T741" s="28"/>
      <c r="U741" s="29"/>
    </row>
    <row r="742" spans="1:21" s="27" customFormat="1" ht="12" customHeight="1" x14ac:dyDescent="0.2">
      <c r="A742" s="384"/>
      <c r="B742" s="18"/>
      <c r="C742" s="14"/>
      <c r="D742" s="71"/>
      <c r="F742" s="84"/>
      <c r="T742" s="28"/>
      <c r="U742" s="29"/>
    </row>
    <row r="743" spans="1:21" s="27" customFormat="1" ht="38.1" customHeight="1" x14ac:dyDescent="0.2">
      <c r="A743" s="14"/>
      <c r="B743" s="383"/>
      <c r="C743" s="21"/>
      <c r="D743" s="71"/>
      <c r="F743" s="84"/>
      <c r="T743" s="28"/>
      <c r="U743" s="29"/>
    </row>
    <row r="744" spans="1:21" s="27" customFormat="1" ht="11.1" customHeight="1" x14ac:dyDescent="0.2">
      <c r="A744" s="14"/>
      <c r="B744" s="14"/>
      <c r="C744" s="14"/>
      <c r="D744" s="71"/>
      <c r="F744" s="84"/>
      <c r="T744" s="28"/>
      <c r="U744" s="29"/>
    </row>
    <row r="745" spans="1:21" s="27" customFormat="1" ht="12" customHeight="1" x14ac:dyDescent="0.2">
      <c r="A745" s="14"/>
      <c r="B745" s="18"/>
      <c r="C745" s="14"/>
      <c r="D745" s="71"/>
      <c r="F745" s="84"/>
      <c r="T745" s="28"/>
      <c r="U745" s="29"/>
    </row>
    <row r="746" spans="1:21" s="27" customFormat="1" ht="11.1" customHeight="1" x14ac:dyDescent="0.2">
      <c r="A746" s="14"/>
      <c r="B746" s="14"/>
      <c r="C746" s="14"/>
      <c r="D746" s="71"/>
      <c r="F746" s="84"/>
      <c r="T746" s="28"/>
      <c r="U746" s="29"/>
    </row>
    <row r="747" spans="1:21" s="27" customFormat="1" ht="12" customHeight="1" x14ac:dyDescent="0.2">
      <c r="A747" s="384"/>
      <c r="B747" s="18"/>
      <c r="C747" s="14"/>
      <c r="D747" s="71"/>
      <c r="F747" s="84"/>
      <c r="T747" s="28"/>
      <c r="U747" s="29"/>
    </row>
    <row r="748" spans="1:21" s="27" customFormat="1" ht="21.95" customHeight="1" x14ac:dyDescent="0.2">
      <c r="A748" s="386"/>
      <c r="B748" s="387"/>
      <c r="C748" s="15"/>
      <c r="D748" s="71"/>
      <c r="F748" s="84"/>
      <c r="T748" s="28"/>
      <c r="U748" s="29"/>
    </row>
    <row r="749" spans="1:21" s="27" customFormat="1" ht="48" customHeight="1" x14ac:dyDescent="0.2">
      <c r="A749" s="14"/>
      <c r="B749" s="383"/>
      <c r="C749" s="14"/>
      <c r="D749" s="71"/>
      <c r="F749" s="84"/>
      <c r="T749" s="28"/>
      <c r="U749" s="29"/>
    </row>
    <row r="750" spans="1:21" s="27" customFormat="1" ht="11.1" customHeight="1" x14ac:dyDescent="0.2">
      <c r="A750" s="14"/>
      <c r="B750" s="14"/>
      <c r="C750" s="14"/>
      <c r="D750" s="71"/>
      <c r="F750" s="84"/>
      <c r="T750" s="28"/>
      <c r="U750" s="29"/>
    </row>
    <row r="751" spans="1:21" s="27" customFormat="1" ht="12" customHeight="1" x14ac:dyDescent="0.2">
      <c r="A751" s="14"/>
      <c r="B751" s="18"/>
      <c r="C751" s="14"/>
      <c r="D751" s="71"/>
      <c r="F751" s="84"/>
      <c r="T751" s="28"/>
      <c r="U751" s="29"/>
    </row>
    <row r="752" spans="1:21" s="27" customFormat="1" ht="11.1" customHeight="1" x14ac:dyDescent="0.2">
      <c r="A752" s="14"/>
      <c r="B752" s="14"/>
      <c r="C752" s="14"/>
      <c r="D752" s="71"/>
      <c r="F752" s="84"/>
      <c r="T752" s="28"/>
      <c r="U752" s="29"/>
    </row>
    <row r="753" spans="1:55" s="27" customFormat="1" ht="12" customHeight="1" x14ac:dyDescent="0.2">
      <c r="A753" s="384"/>
      <c r="B753" s="18"/>
      <c r="C753" s="14"/>
      <c r="D753" s="71"/>
      <c r="F753" s="84"/>
      <c r="T753" s="28"/>
      <c r="U753" s="29"/>
    </row>
    <row r="754" spans="1:55" s="27" customFormat="1" ht="24.95" customHeight="1" x14ac:dyDescent="0.2">
      <c r="A754" s="14"/>
      <c r="B754" s="383"/>
      <c r="C754" s="17"/>
      <c r="D754" s="71"/>
      <c r="F754" s="84"/>
      <c r="T754" s="28"/>
      <c r="U754" s="29"/>
    </row>
    <row r="755" spans="1:55" s="27" customFormat="1" ht="11.1" customHeight="1" x14ac:dyDescent="0.2">
      <c r="A755" s="14"/>
      <c r="B755" s="14"/>
      <c r="C755" s="14"/>
      <c r="D755" s="71"/>
      <c r="F755" s="84"/>
      <c r="T755" s="28"/>
      <c r="U755" s="29"/>
    </row>
    <row r="756" spans="1:55" s="27" customFormat="1" ht="11.1" customHeight="1" x14ac:dyDescent="0.2">
      <c r="A756" s="14"/>
      <c r="B756" s="391"/>
      <c r="C756" s="14"/>
      <c r="D756" s="71"/>
      <c r="F756" s="84"/>
      <c r="T756" s="28"/>
      <c r="U756" s="29"/>
    </row>
    <row r="757" spans="1:55" x14ac:dyDescent="0.2">
      <c r="D757" s="71"/>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row>
  </sheetData>
  <mergeCells count="8">
    <mergeCell ref="A75:C75"/>
    <mergeCell ref="A68:C68"/>
    <mergeCell ref="A69:C69"/>
    <mergeCell ref="A70:C70"/>
    <mergeCell ref="A71:C71"/>
    <mergeCell ref="A74:C74"/>
    <mergeCell ref="A72:C72"/>
    <mergeCell ref="A73:C73"/>
  </mergeCells>
  <pageMargins left="0.7" right="0.7" top="0.75" bottom="0.75" header="0.3" footer="0.3"/>
  <pageSetup paperSize="9" orientation="portrait" r:id="rId1"/>
  <rowBreaks count="1" manualBreakCount="1">
    <brk id="35" max="2" man="1"/>
  </rowBreaks>
  <colBreaks count="1" manualBreakCount="1">
    <brk id="3" max="744"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723"/>
  <sheetViews>
    <sheetView view="pageBreakPreview" zoomScale="90" zoomScaleNormal="100" zoomScaleSheetLayoutView="90" workbookViewId="0">
      <pane ySplit="6" topLeftCell="A639" activePane="bottomLeft" state="frozen"/>
      <selection activeCell="A74" sqref="A74:C74"/>
      <selection pane="bottomLeft" activeCell="K644" sqref="K644"/>
    </sheetView>
  </sheetViews>
  <sheetFormatPr defaultRowHeight="12.75" x14ac:dyDescent="0.2"/>
  <cols>
    <col min="1" max="1" width="8" customWidth="1"/>
    <col min="2" max="2" width="71.33203125" customWidth="1"/>
    <col min="3" max="4" width="19.1640625" style="418" customWidth="1"/>
    <col min="5" max="5" width="6.83203125" style="27" bestFit="1" customWidth="1"/>
    <col min="6" max="6" width="4.83203125" style="27" bestFit="1" customWidth="1"/>
    <col min="7" max="7" width="11.5" style="84" bestFit="1" customWidth="1"/>
    <col min="8" max="8" width="11.33203125" style="27" bestFit="1" customWidth="1"/>
    <col min="9" max="9" width="11.6640625" style="27" customWidth="1"/>
    <col min="10" max="10" width="12.5" style="27" customWidth="1"/>
    <col min="11" max="11" width="10.33203125" style="27" customWidth="1"/>
    <col min="12" max="12" width="10.33203125" style="27"/>
    <col min="13" max="13" width="9.5" style="27" customWidth="1"/>
    <col min="14" max="14" width="11.5" style="27" customWidth="1"/>
    <col min="15" max="15" width="10.33203125" style="27" customWidth="1"/>
    <col min="16" max="16" width="10.6640625" style="27" customWidth="1"/>
    <col min="17" max="17" width="11.1640625" style="27" customWidth="1"/>
    <col min="18" max="18" width="11.5" style="27" customWidth="1"/>
    <col min="19" max="19" width="10.33203125" style="27"/>
    <col min="20" max="20" width="11.83203125" style="27" customWidth="1"/>
    <col min="21" max="21" width="12.1640625" style="28" customWidth="1"/>
    <col min="22" max="22" width="12" style="29" bestFit="1" customWidth="1"/>
    <col min="23" max="23" width="1" style="27" customWidth="1"/>
    <col min="24" max="24" width="12" style="27" customWidth="1"/>
    <col min="25" max="25" width="11.6640625" style="27" customWidth="1"/>
    <col min="26" max="26" width="12.5" style="27" customWidth="1"/>
    <col min="27" max="36" width="10.33203125" style="27"/>
    <col min="37" max="37" width="7.6640625" style="27" customWidth="1"/>
    <col min="38" max="38" width="10.33203125" style="27"/>
    <col min="39" max="39" width="11.33203125" style="27" customWidth="1"/>
    <col min="40" max="40" width="1" style="27" customWidth="1"/>
    <col min="41" max="41" width="10.6640625" style="27" customWidth="1"/>
    <col min="42" max="44" width="10.33203125" style="27"/>
    <col min="45" max="47" width="10.6640625" style="27" customWidth="1"/>
    <col min="48" max="48" width="10.33203125" style="27"/>
    <col min="49" max="49" width="0.6640625" style="27" customWidth="1"/>
    <col min="50" max="56" width="10.33203125" style="27"/>
  </cols>
  <sheetData>
    <row r="1" spans="1:56" ht="15.95" customHeight="1" thickBot="1" x14ac:dyDescent="0.25">
      <c r="A1" s="1"/>
      <c r="B1" s="401" t="s">
        <v>0</v>
      </c>
      <c r="C1" s="409"/>
      <c r="D1" s="432"/>
      <c r="E1" s="23"/>
      <c r="F1" s="24"/>
      <c r="G1" s="25" t="s">
        <v>358</v>
      </c>
      <c r="H1" s="26">
        <v>0</v>
      </c>
    </row>
    <row r="2" spans="1:56" ht="15.95" customHeight="1" thickBot="1" x14ac:dyDescent="0.25">
      <c r="A2" s="1"/>
      <c r="B2" s="401" t="s">
        <v>1</v>
      </c>
      <c r="C2" s="409"/>
      <c r="D2" s="432"/>
      <c r="E2" s="30"/>
      <c r="F2" s="24"/>
      <c r="G2" s="31" t="s">
        <v>359</v>
      </c>
      <c r="H2" s="32">
        <f ca="1">NOW()</f>
        <v>43621.605669907411</v>
      </c>
      <c r="I2" s="33" t="s">
        <v>360</v>
      </c>
      <c r="J2" s="34"/>
      <c r="K2" s="34"/>
      <c r="L2" s="34"/>
      <c r="M2" s="33"/>
      <c r="N2" s="34"/>
      <c r="O2" s="34"/>
      <c r="P2" s="34"/>
      <c r="Q2" s="34"/>
      <c r="R2" s="34"/>
      <c r="S2" s="34"/>
      <c r="T2" s="34"/>
      <c r="U2" s="34"/>
      <c r="V2" s="34"/>
      <c r="W2" s="35"/>
      <c r="X2" s="34"/>
      <c r="Y2" s="34"/>
      <c r="Z2" s="34"/>
      <c r="AA2" s="34"/>
      <c r="AB2" s="34"/>
      <c r="AC2" s="34"/>
      <c r="AD2" s="34"/>
      <c r="AE2" s="34"/>
      <c r="AF2" s="34"/>
      <c r="AG2" s="34"/>
      <c r="AH2" s="34"/>
      <c r="AI2" s="34"/>
      <c r="AJ2" s="34"/>
      <c r="AK2" s="34"/>
      <c r="AL2" s="34"/>
      <c r="AM2" s="34"/>
      <c r="AN2" s="35"/>
      <c r="AO2" s="34"/>
      <c r="AP2" s="34"/>
      <c r="AQ2" s="34"/>
      <c r="AR2" s="34"/>
      <c r="AS2" s="34"/>
      <c r="AT2" s="34"/>
      <c r="AU2" s="34"/>
      <c r="AV2" s="34"/>
      <c r="AW2" s="35"/>
      <c r="AX2" s="34"/>
      <c r="AY2" s="34"/>
      <c r="AZ2" s="34"/>
      <c r="BA2" s="34"/>
      <c r="BB2" s="34"/>
      <c r="BC2" s="34"/>
      <c r="BD2" s="34"/>
    </row>
    <row r="3" spans="1:56" ht="16.5" thickBot="1" x14ac:dyDescent="0.25">
      <c r="A3" s="1"/>
      <c r="B3" s="401" t="s">
        <v>2</v>
      </c>
      <c r="C3" s="409"/>
      <c r="D3" s="432"/>
      <c r="E3" s="30"/>
      <c r="F3" s="30"/>
      <c r="G3" s="36"/>
      <c r="H3" s="30"/>
      <c r="I3" s="37" t="s">
        <v>361</v>
      </c>
      <c r="J3" s="34" t="s">
        <v>362</v>
      </c>
      <c r="K3" s="34"/>
      <c r="L3" s="34"/>
      <c r="M3" s="38"/>
      <c r="N3" s="34"/>
      <c r="O3" s="34"/>
      <c r="P3" s="34"/>
      <c r="Q3" s="34"/>
      <c r="R3" s="34"/>
      <c r="S3" s="34"/>
      <c r="T3" s="34"/>
      <c r="U3" s="34"/>
      <c r="V3" s="34"/>
      <c r="W3" s="35"/>
      <c r="X3" s="39" t="s">
        <v>363</v>
      </c>
      <c r="Y3" s="40"/>
      <c r="Z3" s="40"/>
      <c r="AA3" s="40"/>
      <c r="AB3" s="40"/>
      <c r="AC3" s="40"/>
      <c r="AD3" s="40"/>
      <c r="AE3" s="40"/>
      <c r="AF3" s="40"/>
      <c r="AG3" s="40"/>
      <c r="AH3" s="40"/>
      <c r="AI3" s="40"/>
      <c r="AJ3" s="34"/>
      <c r="AK3" s="34"/>
      <c r="AL3" s="34"/>
      <c r="AM3" s="34"/>
      <c r="AN3" s="35"/>
      <c r="AO3" s="39" t="s">
        <v>364</v>
      </c>
      <c r="AP3" s="40"/>
      <c r="AQ3" s="34"/>
      <c r="AR3" s="41" t="s">
        <v>365</v>
      </c>
      <c r="AS3" s="34"/>
      <c r="AT3" s="34"/>
      <c r="AU3" s="34"/>
      <c r="AV3" s="34"/>
      <c r="AW3" s="35"/>
      <c r="AX3" s="40" t="s">
        <v>366</v>
      </c>
      <c r="AY3" s="34"/>
      <c r="AZ3" s="40" t="s">
        <v>367</v>
      </c>
      <c r="BA3" s="34"/>
      <c r="BB3" s="40" t="s">
        <v>368</v>
      </c>
      <c r="BC3" s="34"/>
      <c r="BD3" s="40" t="s">
        <v>369</v>
      </c>
    </row>
    <row r="4" spans="1:56" ht="11.1" customHeight="1" x14ac:dyDescent="0.2">
      <c r="A4" s="1"/>
      <c r="B4" s="1"/>
      <c r="C4" s="410"/>
      <c r="D4" s="433"/>
      <c r="E4" s="377" t="s">
        <v>370</v>
      </c>
      <c r="F4" s="42" t="s">
        <v>371</v>
      </c>
      <c r="G4" s="43" t="s">
        <v>372</v>
      </c>
      <c r="H4" s="44" t="s">
        <v>373</v>
      </c>
      <c r="I4" s="45"/>
      <c r="J4" s="34"/>
      <c r="K4" s="34"/>
      <c r="L4" s="34"/>
      <c r="M4" s="45"/>
      <c r="N4" s="34"/>
      <c r="O4" s="34"/>
      <c r="P4" s="34"/>
      <c r="Q4" s="34"/>
      <c r="R4" s="34"/>
      <c r="S4" s="34"/>
      <c r="T4" s="34"/>
      <c r="U4" s="34"/>
      <c r="V4" s="34"/>
      <c r="W4" s="35"/>
      <c r="X4" s="34"/>
      <c r="Y4" s="34"/>
      <c r="Z4" s="34"/>
      <c r="AA4" s="34"/>
      <c r="AB4" s="34"/>
      <c r="AC4" s="34"/>
      <c r="AD4" s="34"/>
      <c r="AE4" s="34"/>
      <c r="AF4" s="34"/>
      <c r="AG4" s="34"/>
      <c r="AH4" s="34"/>
      <c r="AI4" s="34"/>
      <c r="AJ4" s="34"/>
      <c r="AK4" s="34"/>
      <c r="AL4" s="34"/>
      <c r="AM4" s="34"/>
      <c r="AN4" s="35"/>
      <c r="AO4" s="34"/>
      <c r="AP4" s="34"/>
      <c r="AQ4" s="34"/>
      <c r="AR4" s="41" t="s">
        <v>374</v>
      </c>
      <c r="AS4" s="34"/>
      <c r="AT4" s="34"/>
      <c r="AU4" s="34"/>
      <c r="AV4" s="34"/>
      <c r="AW4" s="35"/>
      <c r="AX4" s="34"/>
      <c r="AY4" s="34"/>
      <c r="AZ4" s="34"/>
      <c r="BA4" s="34"/>
      <c r="BB4" s="34"/>
      <c r="BC4" s="34"/>
      <c r="BD4" s="34"/>
    </row>
    <row r="5" spans="1:56" ht="13.5" thickBot="1" x14ac:dyDescent="0.25">
      <c r="A5" s="1"/>
      <c r="B5" s="1"/>
      <c r="C5" s="410"/>
      <c r="D5" s="433"/>
      <c r="E5" s="378" t="s">
        <v>375</v>
      </c>
      <c r="F5" s="352" t="s">
        <v>376</v>
      </c>
      <c r="G5" s="353" t="s">
        <v>377</v>
      </c>
      <c r="H5" s="354" t="s">
        <v>378</v>
      </c>
      <c r="I5" s="46"/>
      <c r="J5" s="47"/>
      <c r="K5" s="47"/>
      <c r="L5" s="47"/>
      <c r="M5" s="46"/>
      <c r="N5" s="47"/>
      <c r="O5" s="47"/>
      <c r="P5" s="47"/>
      <c r="Q5" s="47"/>
      <c r="R5" s="47"/>
      <c r="S5" s="47"/>
      <c r="T5" s="47"/>
      <c r="U5" s="47"/>
      <c r="V5" s="47"/>
      <c r="W5" s="48"/>
      <c r="X5" s="47"/>
      <c r="Y5" s="47"/>
      <c r="Z5" s="47"/>
      <c r="AA5" s="47"/>
      <c r="AB5" s="47"/>
      <c r="AC5" s="47"/>
      <c r="AD5" s="47"/>
      <c r="AE5" s="47"/>
      <c r="AF5" s="47"/>
      <c r="AG5" s="47"/>
      <c r="AH5" s="47"/>
      <c r="AI5" s="47"/>
      <c r="AJ5" s="47"/>
      <c r="AK5" s="47"/>
      <c r="AL5" s="47"/>
      <c r="AM5" s="47"/>
      <c r="AN5" s="48"/>
      <c r="AO5" s="47"/>
      <c r="AP5" s="47"/>
      <c r="AQ5" s="47"/>
      <c r="AR5" s="47"/>
      <c r="AS5" s="47"/>
      <c r="AT5" s="47"/>
      <c r="AU5" s="47"/>
      <c r="AV5" s="47"/>
      <c r="AW5" s="48"/>
      <c r="AX5" s="47"/>
      <c r="AY5" s="47"/>
      <c r="AZ5" s="47"/>
      <c r="BA5" s="47"/>
      <c r="BB5" s="47"/>
      <c r="BC5" s="47"/>
      <c r="BD5" s="47"/>
    </row>
    <row r="6" spans="1:56" ht="27" customHeight="1" thickBot="1" x14ac:dyDescent="0.25">
      <c r="A6" s="2" t="s">
        <v>3</v>
      </c>
      <c r="B6" s="3" t="s">
        <v>4</v>
      </c>
      <c r="C6" s="411" t="s">
        <v>357</v>
      </c>
      <c r="D6" s="434"/>
      <c r="E6" s="379"/>
      <c r="F6" s="380"/>
      <c r="G6" s="381"/>
      <c r="H6" s="382"/>
      <c r="I6" s="350" t="s">
        <v>379</v>
      </c>
      <c r="J6" s="50" t="s">
        <v>380</v>
      </c>
      <c r="K6" s="50" t="s">
        <v>381</v>
      </c>
      <c r="L6" s="50" t="s">
        <v>382</v>
      </c>
      <c r="M6" s="49" t="s">
        <v>383</v>
      </c>
      <c r="N6" s="50" t="s">
        <v>380</v>
      </c>
      <c r="O6" s="50" t="s">
        <v>381</v>
      </c>
      <c r="P6" s="50" t="s">
        <v>382</v>
      </c>
      <c r="Q6" s="50" t="s">
        <v>384</v>
      </c>
      <c r="R6" s="50" t="s">
        <v>385</v>
      </c>
      <c r="S6" s="50" t="s">
        <v>386</v>
      </c>
      <c r="T6" s="51" t="s">
        <v>387</v>
      </c>
      <c r="U6" s="50" t="s">
        <v>388</v>
      </c>
      <c r="V6" s="49" t="s">
        <v>389</v>
      </c>
      <c r="W6" s="52"/>
      <c r="X6" s="53" t="s">
        <v>390</v>
      </c>
      <c r="Y6" s="51" t="s">
        <v>385</v>
      </c>
      <c r="Z6" s="51" t="s">
        <v>391</v>
      </c>
      <c r="AA6" s="51" t="s">
        <v>370</v>
      </c>
      <c r="AB6" s="54" t="s">
        <v>392</v>
      </c>
      <c r="AC6" s="51" t="s">
        <v>385</v>
      </c>
      <c r="AD6" s="51" t="s">
        <v>391</v>
      </c>
      <c r="AE6" s="51" t="s">
        <v>370</v>
      </c>
      <c r="AF6" s="54" t="s">
        <v>393</v>
      </c>
      <c r="AG6" s="51" t="s">
        <v>385</v>
      </c>
      <c r="AH6" s="51" t="s">
        <v>391</v>
      </c>
      <c r="AI6" s="51" t="s">
        <v>370</v>
      </c>
      <c r="AJ6" s="51" t="s">
        <v>394</v>
      </c>
      <c r="AK6" s="51" t="s">
        <v>395</v>
      </c>
      <c r="AL6" s="51" t="s">
        <v>396</v>
      </c>
      <c r="AM6" s="51" t="s">
        <v>397</v>
      </c>
      <c r="AN6" s="55"/>
      <c r="AO6" s="56" t="s">
        <v>398</v>
      </c>
      <c r="AP6" s="57" t="s">
        <v>399</v>
      </c>
      <c r="AQ6" s="58" t="s">
        <v>400</v>
      </c>
      <c r="AR6" s="59" t="s">
        <v>391</v>
      </c>
      <c r="AS6" s="60" t="s">
        <v>395</v>
      </c>
      <c r="AT6" s="60" t="s">
        <v>401</v>
      </c>
      <c r="AU6" s="60" t="s">
        <v>402</v>
      </c>
      <c r="AV6" s="60" t="s">
        <v>403</v>
      </c>
      <c r="AW6" s="55"/>
      <c r="AX6" s="61">
        <v>0.05</v>
      </c>
      <c r="AY6" s="62"/>
      <c r="AZ6" s="63">
        <v>0.15</v>
      </c>
      <c r="BA6" s="62"/>
      <c r="BB6" s="62"/>
      <c r="BC6" s="62"/>
      <c r="BD6" s="55"/>
    </row>
    <row r="7" spans="1:56" ht="12" customHeight="1" x14ac:dyDescent="0.2">
      <c r="A7" s="4">
        <v>1</v>
      </c>
      <c r="B7" s="5" t="s">
        <v>5</v>
      </c>
      <c r="C7" s="412"/>
      <c r="D7" s="435"/>
      <c r="E7" s="355"/>
      <c r="F7" s="356"/>
      <c r="G7" s="357"/>
      <c r="H7" s="358"/>
      <c r="Q7" s="64"/>
      <c r="R7" s="64"/>
      <c r="T7" s="64"/>
      <c r="X7" s="65"/>
    </row>
    <row r="8" spans="1:56" ht="12" customHeight="1" x14ac:dyDescent="0.2">
      <c r="A8" s="6">
        <v>1.1000000000000001</v>
      </c>
      <c r="B8" s="7" t="s">
        <v>6</v>
      </c>
      <c r="C8" s="413"/>
      <c r="D8" s="436"/>
      <c r="E8" s="355"/>
      <c r="F8" s="356"/>
      <c r="G8" s="357"/>
      <c r="H8" s="358"/>
      <c r="Q8" s="64"/>
      <c r="R8" s="64"/>
      <c r="T8" s="64"/>
      <c r="X8" s="65"/>
      <c r="Z8" s="64"/>
    </row>
    <row r="9" spans="1:56" ht="65.099999999999994" customHeight="1" x14ac:dyDescent="0.2">
      <c r="A9" s="1"/>
      <c r="B9" s="1" t="s">
        <v>7</v>
      </c>
      <c r="C9" s="429" t="s">
        <v>590</v>
      </c>
      <c r="D9" s="437"/>
      <c r="E9" s="351"/>
      <c r="F9" s="352"/>
      <c r="G9" s="357"/>
      <c r="H9" s="358"/>
      <c r="K9" s="66"/>
      <c r="Q9" s="64"/>
      <c r="R9" s="64"/>
      <c r="T9" s="64"/>
      <c r="X9" s="65"/>
    </row>
    <row r="10" spans="1:56" ht="11.1" customHeight="1" x14ac:dyDescent="0.2">
      <c r="A10" s="1"/>
      <c r="B10" s="1"/>
      <c r="C10" s="410"/>
      <c r="D10" s="433"/>
      <c r="E10" s="359"/>
      <c r="F10" s="359"/>
      <c r="G10" s="360"/>
      <c r="H10" s="361"/>
      <c r="I10" s="67"/>
      <c r="K10" s="64"/>
      <c r="N10" s="67"/>
      <c r="P10" s="68"/>
      <c r="R10" s="64"/>
      <c r="T10" s="64"/>
      <c r="W10" s="64"/>
      <c r="X10" s="65"/>
      <c r="Z10" s="64"/>
    </row>
    <row r="11" spans="1:56" ht="12" customHeight="1" x14ac:dyDescent="0.2">
      <c r="A11" s="6">
        <v>1.2</v>
      </c>
      <c r="B11" s="7" t="s">
        <v>8</v>
      </c>
      <c r="C11" s="413"/>
      <c r="D11" s="436"/>
      <c r="E11" s="359"/>
      <c r="F11" s="359"/>
      <c r="G11" s="360"/>
      <c r="H11" s="361"/>
      <c r="K11" s="64"/>
      <c r="T11" s="64"/>
      <c r="X11" s="65"/>
    </row>
    <row r="12" spans="1:56" ht="51" customHeight="1" x14ac:dyDescent="0.2">
      <c r="A12" s="1"/>
      <c r="B12" s="8" t="s">
        <v>9</v>
      </c>
      <c r="C12" s="414"/>
      <c r="D12" s="438"/>
      <c r="E12" s="359"/>
      <c r="F12" s="359"/>
      <c r="G12" s="362"/>
      <c r="H12" s="363"/>
      <c r="K12" s="64"/>
      <c r="V12" s="69"/>
      <c r="X12" s="65"/>
      <c r="Z12" s="64"/>
    </row>
    <row r="13" spans="1:56" ht="11.1" customHeight="1" x14ac:dyDescent="0.2">
      <c r="A13" s="1"/>
      <c r="B13" s="1"/>
      <c r="C13" s="410"/>
      <c r="D13" s="433"/>
      <c r="E13" s="359"/>
      <c r="F13" s="359"/>
      <c r="G13" s="360"/>
      <c r="H13" s="361"/>
      <c r="J13" s="64"/>
      <c r="X13" s="65"/>
      <c r="Z13" s="64"/>
    </row>
    <row r="14" spans="1:56" ht="70.5" customHeight="1" x14ac:dyDescent="0.2">
      <c r="A14" s="1"/>
      <c r="B14" s="1" t="s">
        <v>10</v>
      </c>
      <c r="C14" s="410"/>
      <c r="D14" s="433"/>
      <c r="E14" s="359"/>
      <c r="F14" s="359"/>
      <c r="G14" s="360"/>
      <c r="H14" s="361"/>
      <c r="J14" s="64"/>
      <c r="X14" s="65"/>
    </row>
    <row r="15" spans="1:56" ht="11.1" customHeight="1" x14ac:dyDescent="0.2">
      <c r="A15" s="1"/>
      <c r="B15" s="1"/>
      <c r="C15" s="410"/>
      <c r="D15" s="433"/>
      <c r="E15" s="359"/>
      <c r="F15" s="359"/>
      <c r="G15" s="360"/>
      <c r="H15" s="361"/>
      <c r="J15" s="64"/>
      <c r="T15" s="64"/>
      <c r="V15" s="70"/>
      <c r="W15" s="64"/>
      <c r="X15" s="66"/>
      <c r="Z15" s="64"/>
    </row>
    <row r="16" spans="1:56" ht="63" customHeight="1" x14ac:dyDescent="0.2">
      <c r="A16" s="1"/>
      <c r="B16" s="8" t="s">
        <v>11</v>
      </c>
      <c r="C16" s="414"/>
      <c r="D16" s="438"/>
      <c r="E16" s="359"/>
      <c r="F16" s="359"/>
      <c r="G16" s="360"/>
      <c r="H16" s="361"/>
      <c r="J16" s="64"/>
      <c r="T16" s="64"/>
      <c r="V16" s="70"/>
      <c r="W16" s="64"/>
      <c r="X16" s="64"/>
      <c r="Z16" s="64"/>
    </row>
    <row r="17" spans="1:56" ht="11.1" customHeight="1" x14ac:dyDescent="0.2">
      <c r="A17" s="1"/>
      <c r="B17" s="1"/>
      <c r="C17" s="410"/>
      <c r="D17" s="433"/>
      <c r="E17" s="359"/>
      <c r="F17" s="359"/>
      <c r="G17" s="360"/>
      <c r="H17" s="361"/>
      <c r="T17" s="64"/>
    </row>
    <row r="18" spans="1:56" ht="48.75" customHeight="1" x14ac:dyDescent="0.2">
      <c r="A18" s="1"/>
      <c r="B18" s="8" t="s">
        <v>12</v>
      </c>
      <c r="C18" s="414"/>
      <c r="D18" s="438"/>
      <c r="E18" s="359"/>
      <c r="F18" s="359"/>
      <c r="G18" s="360"/>
      <c r="H18" s="361"/>
      <c r="J18" s="64"/>
      <c r="T18" s="64"/>
    </row>
    <row r="19" spans="1:56" ht="11.1" customHeight="1" x14ac:dyDescent="0.2">
      <c r="A19" s="1"/>
      <c r="B19" s="1"/>
      <c r="C19" s="410"/>
      <c r="D19" s="433"/>
      <c r="E19" s="359"/>
      <c r="F19" s="359"/>
      <c r="G19" s="360"/>
      <c r="H19" s="361"/>
      <c r="Q19" s="66"/>
      <c r="T19" s="64"/>
    </row>
    <row r="20" spans="1:56" ht="12" customHeight="1" x14ac:dyDescent="0.2">
      <c r="A20" s="6">
        <v>1.3</v>
      </c>
      <c r="B20" s="7" t="s">
        <v>13</v>
      </c>
      <c r="C20" s="413"/>
      <c r="D20" s="436"/>
      <c r="E20" s="359"/>
      <c r="F20" s="359"/>
      <c r="G20" s="360"/>
      <c r="H20" s="361"/>
      <c r="J20" s="64"/>
      <c r="M20" s="71"/>
      <c r="N20" s="71"/>
      <c r="O20" s="71"/>
      <c r="P20" s="71"/>
      <c r="Q20" s="71"/>
      <c r="R20" s="71"/>
      <c r="S20" s="71"/>
      <c r="T20" s="72"/>
      <c r="U20" s="347"/>
      <c r="V20" s="348"/>
      <c r="W20" s="71"/>
      <c r="X20" s="71"/>
      <c r="Y20" s="71"/>
      <c r="Z20" s="71"/>
      <c r="AA20" s="71"/>
      <c r="AB20" s="71"/>
      <c r="AC20" s="71"/>
      <c r="AD20" s="71"/>
      <c r="AE20" s="71"/>
      <c r="AF20" s="71"/>
      <c r="AG20" s="71"/>
      <c r="AH20" s="71"/>
      <c r="AI20" s="71"/>
      <c r="AJ20" s="71"/>
      <c r="AK20" s="71"/>
      <c r="AL20" s="71"/>
    </row>
    <row r="21" spans="1:56" ht="12" customHeight="1" x14ac:dyDescent="0.2">
      <c r="A21" s="448"/>
      <c r="B21" s="8" t="s">
        <v>14</v>
      </c>
      <c r="C21" s="414"/>
      <c r="D21" s="438"/>
      <c r="E21" s="359"/>
      <c r="F21" s="359"/>
      <c r="G21" s="360"/>
      <c r="H21" s="361"/>
      <c r="J21" s="64"/>
      <c r="M21" s="71"/>
      <c r="N21" s="71"/>
      <c r="O21" s="71"/>
      <c r="P21" s="71"/>
      <c r="Q21" s="71"/>
      <c r="R21" s="71"/>
      <c r="S21" s="71"/>
      <c r="T21" s="72"/>
      <c r="U21" s="347"/>
      <c r="V21" s="348"/>
      <c r="W21" s="71"/>
      <c r="X21" s="71"/>
      <c r="Y21" s="71"/>
      <c r="Z21" s="72"/>
      <c r="AA21" s="71"/>
      <c r="AB21" s="71"/>
      <c r="AC21" s="71"/>
      <c r="AD21" s="71"/>
      <c r="AE21" s="71"/>
      <c r="AF21" s="71"/>
      <c r="AG21" s="71"/>
      <c r="AH21" s="71"/>
      <c r="AI21" s="71"/>
      <c r="AJ21" s="71"/>
      <c r="AK21" s="71"/>
      <c r="AL21" s="71"/>
    </row>
    <row r="22" spans="1:56" ht="38.1" customHeight="1" x14ac:dyDescent="0.2">
      <c r="A22" s="449"/>
      <c r="B22" s="8" t="s">
        <v>15</v>
      </c>
      <c r="C22" s="414"/>
      <c r="D22" s="438"/>
      <c r="E22" s="359"/>
      <c r="F22" s="359"/>
      <c r="G22" s="360"/>
      <c r="H22" s="361"/>
      <c r="J22" s="64"/>
      <c r="M22" s="71"/>
      <c r="N22" s="71"/>
      <c r="O22" s="71"/>
      <c r="P22" s="71"/>
      <c r="Q22" s="71"/>
      <c r="R22" s="71"/>
      <c r="S22" s="71"/>
      <c r="T22" s="72"/>
      <c r="U22" s="347"/>
      <c r="V22" s="348"/>
      <c r="W22" s="71"/>
      <c r="X22" s="71"/>
      <c r="Y22" s="71"/>
      <c r="Z22" s="71"/>
      <c r="AA22" s="71"/>
      <c r="AB22" s="71"/>
      <c r="AC22" s="71"/>
      <c r="AD22" s="71"/>
      <c r="AE22" s="71"/>
      <c r="AF22" s="71"/>
      <c r="AG22" s="71"/>
      <c r="AH22" s="71"/>
      <c r="AI22" s="71"/>
      <c r="AJ22" s="71"/>
      <c r="AK22" s="71"/>
      <c r="AL22" s="71"/>
    </row>
    <row r="23" spans="1:56" ht="24.95" customHeight="1" x14ac:dyDescent="0.2">
      <c r="A23" s="449"/>
      <c r="B23" s="8" t="s">
        <v>16</v>
      </c>
      <c r="C23" s="414"/>
      <c r="D23" s="438"/>
      <c r="E23" s="359"/>
      <c r="F23" s="359"/>
      <c r="G23" s="360"/>
      <c r="H23" s="361"/>
      <c r="M23" s="71"/>
      <c r="N23" s="71"/>
      <c r="O23" s="71"/>
      <c r="P23" s="71"/>
      <c r="Q23" s="71"/>
      <c r="R23" s="72"/>
      <c r="S23" s="71"/>
      <c r="T23" s="72"/>
      <c r="U23" s="347"/>
      <c r="V23" s="348"/>
      <c r="W23" s="71"/>
      <c r="X23" s="71"/>
      <c r="Y23" s="71"/>
      <c r="Z23" s="72"/>
      <c r="AA23" s="71"/>
      <c r="AB23" s="71"/>
      <c r="AC23" s="71"/>
      <c r="AD23" s="71"/>
      <c r="AE23" s="71"/>
      <c r="AF23" s="71"/>
      <c r="AG23" s="71"/>
      <c r="AH23" s="71"/>
      <c r="AI23" s="71"/>
      <c r="AJ23" s="71"/>
      <c r="AK23" s="71"/>
      <c r="AL23" s="71"/>
    </row>
    <row r="24" spans="1:56" ht="60" customHeight="1" x14ac:dyDescent="0.2">
      <c r="A24" s="448"/>
      <c r="B24" s="8" t="s">
        <v>17</v>
      </c>
      <c r="C24" s="415" t="s">
        <v>591</v>
      </c>
      <c r="D24" s="439"/>
      <c r="E24" s="359"/>
      <c r="F24" s="359"/>
      <c r="G24" s="360"/>
      <c r="H24" s="361"/>
      <c r="M24" s="71"/>
      <c r="N24" s="71"/>
      <c r="O24" s="71"/>
      <c r="P24" s="71"/>
      <c r="Q24" s="72"/>
      <c r="R24" s="71"/>
      <c r="S24" s="71"/>
      <c r="T24" s="72"/>
      <c r="U24" s="347"/>
      <c r="V24" s="348"/>
      <c r="W24" s="71"/>
      <c r="X24" s="71"/>
      <c r="Y24" s="71"/>
      <c r="Z24" s="72"/>
      <c r="AA24" s="71"/>
      <c r="AB24" s="71"/>
      <c r="AC24" s="71"/>
      <c r="AD24" s="71"/>
      <c r="AE24" s="71"/>
      <c r="AF24" s="71"/>
      <c r="AG24" s="71"/>
      <c r="AH24" s="71"/>
      <c r="AI24" s="71"/>
      <c r="AJ24" s="71"/>
      <c r="AK24" s="71"/>
      <c r="AL24" s="71"/>
      <c r="AM24"/>
      <c r="AN24"/>
      <c r="AO24"/>
      <c r="AP24"/>
      <c r="AQ24"/>
      <c r="AR24"/>
      <c r="AS24"/>
      <c r="AT24"/>
      <c r="AU24"/>
      <c r="AV24"/>
      <c r="AW24"/>
      <c r="AX24"/>
      <c r="AY24"/>
      <c r="AZ24"/>
      <c r="BA24"/>
      <c r="BB24"/>
      <c r="BC24"/>
      <c r="BD24"/>
    </row>
    <row r="25" spans="1:56" ht="27.75" customHeight="1" x14ac:dyDescent="0.2">
      <c r="A25" s="449"/>
      <c r="B25" s="8" t="s">
        <v>18</v>
      </c>
      <c r="C25" s="414"/>
      <c r="D25" s="438"/>
      <c r="E25" s="359"/>
      <c r="F25" s="359"/>
      <c r="G25" s="360"/>
      <c r="H25" s="361"/>
      <c r="M25" s="71"/>
      <c r="N25" s="71"/>
      <c r="O25" s="72"/>
      <c r="P25" s="71"/>
      <c r="Q25" s="72"/>
      <c r="R25" s="71"/>
      <c r="S25" s="71"/>
      <c r="T25" s="71"/>
      <c r="U25" s="347"/>
      <c r="V25" s="348"/>
      <c r="W25" s="71"/>
      <c r="X25" s="71"/>
      <c r="Y25" s="71"/>
      <c r="Z25" s="71"/>
      <c r="AA25" s="71"/>
      <c r="AB25" s="71"/>
      <c r="AC25" s="71"/>
      <c r="AD25" s="71"/>
      <c r="AE25" s="71"/>
      <c r="AF25" s="71"/>
      <c r="AG25" s="71"/>
      <c r="AH25" s="71"/>
      <c r="AI25" s="71"/>
      <c r="AJ25" s="71"/>
      <c r="AK25" s="71"/>
      <c r="AL25" s="71"/>
      <c r="AM25"/>
      <c r="AN25"/>
      <c r="AO25"/>
      <c r="AP25"/>
      <c r="AQ25"/>
      <c r="AR25"/>
      <c r="AS25"/>
      <c r="AT25"/>
      <c r="AU25"/>
      <c r="AV25"/>
      <c r="AW25"/>
      <c r="AX25"/>
      <c r="AY25"/>
      <c r="AZ25"/>
      <c r="BA25"/>
      <c r="BB25"/>
      <c r="BC25"/>
      <c r="BD25"/>
    </row>
    <row r="26" spans="1:56" ht="24.95" customHeight="1" x14ac:dyDescent="0.2">
      <c r="A26" s="449"/>
      <c r="B26" s="8" t="s">
        <v>19</v>
      </c>
      <c r="C26" s="414"/>
      <c r="D26" s="438"/>
      <c r="E26" s="359"/>
      <c r="F26" s="359"/>
      <c r="G26" s="360"/>
      <c r="H26" s="361"/>
      <c r="M26" s="71"/>
      <c r="N26" s="71"/>
      <c r="O26" s="72"/>
      <c r="P26" s="71"/>
      <c r="Q26" s="71"/>
      <c r="R26" s="71"/>
      <c r="S26" s="71"/>
      <c r="T26" s="71"/>
      <c r="U26" s="347"/>
      <c r="V26" s="348"/>
      <c r="W26" s="71"/>
      <c r="X26" s="71"/>
      <c r="Y26" s="71"/>
      <c r="Z26" s="71"/>
      <c r="AA26" s="71"/>
      <c r="AB26" s="71"/>
      <c r="AC26" s="71"/>
      <c r="AD26" s="71"/>
      <c r="AE26" s="71"/>
      <c r="AF26" s="71"/>
      <c r="AG26" s="71"/>
      <c r="AH26" s="71"/>
      <c r="AI26" s="71"/>
      <c r="AJ26" s="71"/>
      <c r="AK26" s="71"/>
      <c r="AL26" s="71"/>
      <c r="AM26"/>
      <c r="AN26"/>
      <c r="AO26"/>
      <c r="AP26"/>
      <c r="AQ26"/>
      <c r="AR26"/>
      <c r="AS26"/>
      <c r="AT26"/>
      <c r="AU26"/>
      <c r="AV26"/>
      <c r="AW26"/>
      <c r="AX26"/>
      <c r="AY26"/>
      <c r="AZ26"/>
      <c r="BA26"/>
      <c r="BB26"/>
      <c r="BC26"/>
      <c r="BD26"/>
    </row>
    <row r="27" spans="1:56" ht="24" customHeight="1" x14ac:dyDescent="0.2">
      <c r="A27" s="449"/>
      <c r="B27" s="8" t="s">
        <v>20</v>
      </c>
      <c r="C27" s="414"/>
      <c r="D27" s="438"/>
      <c r="E27" s="359"/>
      <c r="F27" s="359"/>
      <c r="G27" s="360"/>
      <c r="H27" s="361"/>
      <c r="M27" s="71"/>
      <c r="N27" s="71"/>
      <c r="O27" s="72"/>
      <c r="P27" s="71"/>
      <c r="Q27" s="72"/>
      <c r="R27" s="72"/>
      <c r="S27" s="71"/>
      <c r="T27" s="71"/>
      <c r="U27" s="347"/>
      <c r="V27" s="348"/>
      <c r="W27" s="71"/>
      <c r="X27" s="71"/>
      <c r="Y27" s="71"/>
      <c r="Z27" s="71"/>
      <c r="AA27" s="71"/>
      <c r="AB27" s="71"/>
      <c r="AC27" s="71"/>
      <c r="AD27" s="71"/>
      <c r="AE27" s="71"/>
      <c r="AF27" s="71"/>
      <c r="AG27" s="71"/>
      <c r="AH27" s="71"/>
      <c r="AI27" s="71"/>
      <c r="AJ27" s="71"/>
      <c r="AK27" s="71"/>
      <c r="AL27" s="71"/>
      <c r="AM27"/>
      <c r="AN27"/>
      <c r="AO27"/>
      <c r="AP27"/>
      <c r="AQ27"/>
      <c r="AR27"/>
      <c r="AS27"/>
      <c r="AT27"/>
      <c r="AU27"/>
      <c r="AV27"/>
      <c r="AW27"/>
      <c r="AX27"/>
      <c r="AY27"/>
      <c r="AZ27"/>
      <c r="BA27"/>
      <c r="BB27"/>
      <c r="BC27"/>
      <c r="BD27"/>
    </row>
    <row r="28" spans="1:56" ht="12" customHeight="1" x14ac:dyDescent="0.2">
      <c r="A28" s="449"/>
      <c r="B28" s="8" t="s">
        <v>21</v>
      </c>
      <c r="C28" s="414"/>
      <c r="D28" s="438"/>
      <c r="E28" s="364"/>
      <c r="F28" s="359"/>
      <c r="G28" s="360"/>
      <c r="H28" s="361"/>
      <c r="M28" s="71"/>
      <c r="N28" s="71"/>
      <c r="O28" s="71"/>
      <c r="P28" s="71"/>
      <c r="Q28" s="71"/>
      <c r="R28" s="72"/>
      <c r="S28" s="71"/>
      <c r="T28" s="71"/>
      <c r="U28" s="347"/>
      <c r="V28" s="348"/>
      <c r="W28" s="71"/>
      <c r="X28" s="71"/>
      <c r="Y28" s="71"/>
      <c r="Z28" s="71"/>
      <c r="AA28" s="71"/>
      <c r="AB28" s="71"/>
      <c r="AC28" s="71"/>
      <c r="AD28" s="71"/>
      <c r="AE28" s="71"/>
      <c r="AF28" s="71"/>
      <c r="AG28" s="71"/>
      <c r="AH28" s="71"/>
      <c r="AI28" s="71"/>
      <c r="AJ28" s="71"/>
      <c r="AK28" s="71"/>
      <c r="AL28" s="71"/>
      <c r="AM28"/>
      <c r="AN28"/>
      <c r="AO28"/>
      <c r="AP28"/>
      <c r="AQ28"/>
      <c r="AR28"/>
      <c r="AS28"/>
      <c r="AT28"/>
      <c r="AU28"/>
      <c r="AV28"/>
      <c r="AW28"/>
      <c r="AX28"/>
      <c r="AY28"/>
      <c r="AZ28"/>
      <c r="BA28"/>
      <c r="BB28"/>
      <c r="BC28"/>
      <c r="BD28"/>
    </row>
    <row r="29" spans="1:56" ht="12" customHeight="1" x14ac:dyDescent="0.2">
      <c r="A29" s="449"/>
      <c r="B29" s="8" t="s">
        <v>22</v>
      </c>
      <c r="C29" s="414"/>
      <c r="D29" s="438"/>
      <c r="E29" s="364"/>
      <c r="F29" s="359"/>
      <c r="G29" s="360"/>
      <c r="H29" s="361"/>
      <c r="M29" s="71"/>
      <c r="N29" s="71"/>
      <c r="O29" s="71"/>
      <c r="P29" s="71"/>
      <c r="Q29" s="72"/>
      <c r="R29" s="71"/>
      <c r="S29" s="71"/>
      <c r="T29" s="71"/>
      <c r="U29" s="347"/>
      <c r="V29" s="348"/>
      <c r="W29" s="71"/>
      <c r="X29" s="71"/>
      <c r="Y29" s="71"/>
      <c r="Z29" s="71"/>
      <c r="AA29" s="71"/>
      <c r="AB29" s="71"/>
      <c r="AC29" s="71"/>
      <c r="AD29" s="71"/>
      <c r="AE29" s="71"/>
      <c r="AF29" s="71"/>
      <c r="AG29" s="71"/>
      <c r="AH29" s="71"/>
      <c r="AI29" s="71"/>
      <c r="AJ29" s="71"/>
      <c r="AK29" s="71"/>
      <c r="AL29" s="71"/>
      <c r="AM29"/>
      <c r="AN29"/>
      <c r="AO29"/>
      <c r="AP29"/>
      <c r="AQ29"/>
      <c r="AR29"/>
      <c r="AS29"/>
      <c r="AT29"/>
      <c r="AU29"/>
      <c r="AV29"/>
      <c r="AW29"/>
      <c r="AX29"/>
      <c r="AY29"/>
      <c r="AZ29"/>
      <c r="BA29"/>
      <c r="BB29"/>
      <c r="BC29"/>
      <c r="BD29"/>
    </row>
    <row r="30" spans="1:56" ht="24.95" customHeight="1" x14ac:dyDescent="0.2">
      <c r="A30" s="450"/>
      <c r="B30" s="8" t="s">
        <v>23</v>
      </c>
      <c r="C30" s="414"/>
      <c r="D30" s="438"/>
      <c r="E30" s="364"/>
      <c r="F30" s="359"/>
      <c r="G30" s="360"/>
      <c r="H30" s="361"/>
      <c r="M30" s="71"/>
      <c r="N30" s="71"/>
      <c r="O30" s="72"/>
      <c r="P30" s="71"/>
      <c r="Q30" s="72"/>
      <c r="R30" s="72"/>
      <c r="S30" s="71"/>
      <c r="T30" s="71"/>
      <c r="U30" s="347"/>
      <c r="V30" s="348"/>
      <c r="W30" s="71"/>
      <c r="X30" s="71"/>
      <c r="Y30" s="71"/>
      <c r="Z30" s="71"/>
      <c r="AA30" s="71"/>
      <c r="AB30" s="71"/>
      <c r="AC30" s="71"/>
      <c r="AD30" s="71"/>
      <c r="AE30" s="71"/>
      <c r="AF30" s="71"/>
      <c r="AG30" s="71"/>
      <c r="AH30" s="71"/>
      <c r="AI30" s="71"/>
      <c r="AJ30" s="71"/>
      <c r="AK30" s="71"/>
      <c r="AL30" s="71"/>
      <c r="AM30"/>
      <c r="AN30"/>
      <c r="AO30"/>
      <c r="AP30"/>
      <c r="AQ30"/>
      <c r="AR30"/>
      <c r="AS30"/>
      <c r="AT30"/>
      <c r="AU30"/>
      <c r="AV30"/>
      <c r="AW30"/>
      <c r="AX30"/>
      <c r="AY30"/>
      <c r="AZ30"/>
      <c r="BA30"/>
      <c r="BB30"/>
      <c r="BC30"/>
      <c r="BD30"/>
    </row>
    <row r="31" spans="1:56" ht="11.1" customHeight="1" x14ac:dyDescent="0.2">
      <c r="A31" s="1"/>
      <c r="B31" s="1"/>
      <c r="C31" s="410"/>
      <c r="D31" s="433"/>
      <c r="E31" s="351"/>
      <c r="F31" s="359"/>
      <c r="G31" s="360"/>
      <c r="H31" s="365"/>
      <c r="M31" s="71"/>
      <c r="N31" s="71"/>
      <c r="O31" s="71"/>
      <c r="P31" s="71"/>
      <c r="Q31" s="71"/>
      <c r="R31" s="71"/>
      <c r="S31" s="71"/>
      <c r="T31" s="71"/>
      <c r="U31" s="347"/>
      <c r="V31" s="348"/>
      <c r="W31" s="71"/>
      <c r="X31" s="71"/>
      <c r="Y31" s="71"/>
      <c r="Z31" s="71"/>
      <c r="AA31" s="71"/>
      <c r="AB31" s="71"/>
      <c r="AC31" s="71"/>
      <c r="AD31" s="71"/>
      <c r="AE31" s="71"/>
      <c r="AF31" s="71"/>
      <c r="AG31" s="71"/>
      <c r="AH31" s="71"/>
      <c r="AI31" s="71"/>
      <c r="AJ31" s="71"/>
      <c r="AK31" s="71"/>
      <c r="AL31" s="71"/>
      <c r="AM31"/>
      <c r="AN31"/>
      <c r="AO31"/>
      <c r="AP31"/>
      <c r="AQ31"/>
      <c r="AR31"/>
      <c r="AS31"/>
      <c r="AT31"/>
      <c r="AU31"/>
      <c r="AV31"/>
      <c r="AW31"/>
      <c r="AX31"/>
      <c r="AY31"/>
      <c r="AZ31"/>
      <c r="BA31"/>
      <c r="BB31"/>
      <c r="BC31"/>
      <c r="BD31"/>
    </row>
    <row r="32" spans="1:56" ht="40.5" customHeight="1" x14ac:dyDescent="0.2">
      <c r="A32" s="1"/>
      <c r="B32" s="8" t="s">
        <v>24</v>
      </c>
      <c r="C32" s="423"/>
      <c r="D32" s="440"/>
      <c r="E32" s="364"/>
      <c r="F32" s="359"/>
      <c r="G32" s="360"/>
      <c r="H32" s="361"/>
      <c r="M32" s="71"/>
      <c r="N32" s="71"/>
      <c r="O32" s="71"/>
      <c r="P32" s="71"/>
      <c r="Q32" s="71"/>
      <c r="R32" s="71"/>
      <c r="S32" s="71"/>
      <c r="T32" s="71"/>
      <c r="U32" s="347"/>
      <c r="V32" s="348"/>
      <c r="W32" s="71"/>
      <c r="X32" s="71"/>
      <c r="Y32" s="71"/>
      <c r="Z32" s="71"/>
      <c r="AA32" s="71"/>
      <c r="AB32" s="71"/>
      <c r="AC32" s="71"/>
      <c r="AD32" s="71"/>
      <c r="AE32" s="71"/>
      <c r="AF32" s="71"/>
      <c r="AG32" s="71"/>
      <c r="AH32" s="71"/>
      <c r="AI32" s="71"/>
      <c r="AJ32" s="71"/>
      <c r="AK32" s="71"/>
      <c r="AL32" s="71"/>
      <c r="AM32"/>
      <c r="AN32"/>
      <c r="AO32"/>
      <c r="AP32"/>
      <c r="AQ32"/>
      <c r="AR32"/>
      <c r="AS32"/>
      <c r="AT32"/>
      <c r="AU32"/>
      <c r="AV32"/>
      <c r="AW32"/>
      <c r="AX32"/>
      <c r="AY32"/>
      <c r="AZ32"/>
      <c r="BA32"/>
      <c r="BB32"/>
      <c r="BC32"/>
      <c r="BD32"/>
    </row>
    <row r="33" spans="1:56" ht="11.1" customHeight="1" x14ac:dyDescent="0.2">
      <c r="A33" s="1"/>
      <c r="B33" s="1"/>
      <c r="C33" s="410"/>
      <c r="D33" s="433"/>
      <c r="E33" s="364"/>
      <c r="F33" s="359"/>
      <c r="G33" s="360"/>
      <c r="H33" s="365"/>
      <c r="M33" s="71"/>
      <c r="N33" s="71"/>
      <c r="O33" s="71"/>
      <c r="P33" s="71"/>
      <c r="Q33" s="71"/>
      <c r="R33" s="71"/>
      <c r="S33" s="71"/>
      <c r="T33" s="71"/>
      <c r="U33" s="347"/>
      <c r="V33" s="348"/>
      <c r="W33" s="71"/>
      <c r="X33" s="71"/>
      <c r="Y33" s="71"/>
      <c r="Z33" s="71"/>
      <c r="AA33" s="71"/>
      <c r="AB33" s="71"/>
      <c r="AC33" s="71"/>
      <c r="AD33" s="71"/>
      <c r="AE33" s="71"/>
      <c r="AF33" s="71"/>
      <c r="AG33" s="71"/>
      <c r="AH33" s="71"/>
      <c r="AI33" s="71"/>
      <c r="AJ33" s="71"/>
      <c r="AK33" s="71"/>
      <c r="AL33" s="71"/>
      <c r="AM33"/>
      <c r="AN33"/>
      <c r="AO33"/>
      <c r="AP33"/>
      <c r="AQ33"/>
      <c r="AR33"/>
      <c r="AS33"/>
      <c r="AT33"/>
      <c r="AU33"/>
      <c r="AV33"/>
      <c r="AW33"/>
      <c r="AX33"/>
      <c r="AY33"/>
      <c r="AZ33"/>
      <c r="BA33"/>
      <c r="BB33"/>
      <c r="BC33"/>
      <c r="BD33"/>
    </row>
    <row r="34" spans="1:56" ht="12" customHeight="1" x14ac:dyDescent="0.2">
      <c r="A34" s="6">
        <v>1.4</v>
      </c>
      <c r="B34" s="7" t="s">
        <v>25</v>
      </c>
      <c r="C34" s="413"/>
      <c r="D34" s="436"/>
      <c r="E34" s="364"/>
      <c r="F34" s="359"/>
      <c r="G34" s="366"/>
      <c r="H34" s="358"/>
      <c r="M34" s="71"/>
      <c r="N34" s="71"/>
      <c r="O34" s="71"/>
      <c r="P34" s="71"/>
      <c r="Q34" s="71"/>
      <c r="R34" s="71"/>
      <c r="S34" s="71"/>
      <c r="T34" s="71"/>
      <c r="U34" s="347"/>
      <c r="V34" s="348"/>
      <c r="W34" s="71"/>
      <c r="X34" s="71"/>
      <c r="Y34" s="71"/>
      <c r="Z34" s="71"/>
      <c r="AA34" s="71"/>
      <c r="AB34" s="71"/>
      <c r="AC34" s="71"/>
      <c r="AD34" s="71"/>
      <c r="AE34" s="71"/>
      <c r="AF34" s="71"/>
      <c r="AG34" s="71"/>
      <c r="AH34" s="71"/>
      <c r="AI34" s="71"/>
      <c r="AJ34" s="71"/>
      <c r="AK34" s="71"/>
      <c r="AL34" s="71"/>
      <c r="AM34"/>
      <c r="AN34"/>
      <c r="AO34"/>
      <c r="AP34"/>
      <c r="AQ34"/>
      <c r="AR34"/>
      <c r="AS34"/>
      <c r="AT34"/>
      <c r="AU34"/>
      <c r="AV34"/>
      <c r="AW34"/>
      <c r="AX34"/>
      <c r="AY34"/>
      <c r="AZ34"/>
      <c r="BA34"/>
      <c r="BB34"/>
      <c r="BC34"/>
      <c r="BD34"/>
    </row>
    <row r="35" spans="1:56" ht="24.95" customHeight="1" x14ac:dyDescent="0.2">
      <c r="A35" s="1"/>
      <c r="B35" s="8" t="s">
        <v>26</v>
      </c>
      <c r="C35" s="414"/>
      <c r="D35" s="438"/>
      <c r="E35" s="364"/>
      <c r="F35" s="359"/>
      <c r="G35" s="360"/>
      <c r="H35" s="361"/>
      <c r="M35" s="71"/>
      <c r="N35" s="71"/>
      <c r="O35" s="71"/>
      <c r="P35" s="71"/>
      <c r="Q35" s="71"/>
      <c r="R35" s="71"/>
      <c r="S35" s="71"/>
      <c r="T35" s="71"/>
      <c r="U35" s="347"/>
      <c r="V35" s="348"/>
      <c r="W35" s="71"/>
      <c r="X35" s="71"/>
      <c r="Y35" s="71"/>
      <c r="Z35" s="71"/>
      <c r="AA35" s="71"/>
      <c r="AB35" s="71"/>
      <c r="AC35" s="71"/>
      <c r="AD35" s="71"/>
      <c r="AE35" s="71"/>
      <c r="AF35" s="71"/>
      <c r="AG35" s="71"/>
      <c r="AH35" s="71"/>
      <c r="AI35" s="71"/>
      <c r="AJ35" s="71"/>
      <c r="AK35" s="71"/>
      <c r="AL35" s="71"/>
      <c r="AM35"/>
      <c r="AN35"/>
      <c r="AO35"/>
      <c r="AP35"/>
      <c r="AQ35"/>
      <c r="AR35"/>
      <c r="AS35"/>
      <c r="AT35"/>
      <c r="AU35"/>
      <c r="AV35"/>
      <c r="AW35"/>
      <c r="AX35"/>
      <c r="AY35"/>
      <c r="AZ35"/>
      <c r="BA35"/>
      <c r="BB35"/>
      <c r="BC35"/>
      <c r="BD35"/>
    </row>
    <row r="36" spans="1:56" ht="11.1" customHeight="1" x14ac:dyDescent="0.2">
      <c r="A36" s="1"/>
      <c r="B36" s="1"/>
      <c r="C36" s="410"/>
      <c r="D36" s="433"/>
      <c r="E36" s="364"/>
      <c r="F36" s="359"/>
      <c r="G36" s="366"/>
      <c r="H36" s="358"/>
      <c r="M36" s="71"/>
      <c r="N36" s="71"/>
      <c r="O36" s="71"/>
      <c r="P36" s="71"/>
      <c r="Q36" s="71"/>
      <c r="R36" s="71"/>
      <c r="S36" s="71"/>
      <c r="T36" s="71"/>
      <c r="U36" s="347"/>
      <c r="V36" s="348"/>
      <c r="W36" s="71"/>
      <c r="X36" s="71"/>
      <c r="Y36" s="71"/>
      <c r="Z36" s="71"/>
      <c r="AA36" s="71"/>
      <c r="AB36" s="71"/>
      <c r="AC36" s="71"/>
      <c r="AD36" s="71"/>
      <c r="AE36" s="71"/>
      <c r="AF36" s="71"/>
      <c r="AG36" s="71"/>
      <c r="AH36" s="71"/>
      <c r="AI36" s="71"/>
      <c r="AJ36" s="71"/>
      <c r="AK36" s="71"/>
      <c r="AL36" s="71"/>
      <c r="AM36"/>
      <c r="AN36"/>
      <c r="AO36"/>
      <c r="AP36"/>
      <c r="AQ36"/>
      <c r="AR36"/>
      <c r="AS36"/>
      <c r="AT36"/>
      <c r="AU36"/>
      <c r="AV36"/>
      <c r="AW36"/>
      <c r="AX36"/>
      <c r="AY36"/>
      <c r="AZ36"/>
      <c r="BA36"/>
      <c r="BB36"/>
      <c r="BC36"/>
      <c r="BD36"/>
    </row>
    <row r="37" spans="1:56" ht="24.95" customHeight="1" x14ac:dyDescent="0.2">
      <c r="A37" s="1"/>
      <c r="B37" s="8" t="s">
        <v>27</v>
      </c>
      <c r="C37" s="414"/>
      <c r="D37" s="438"/>
      <c r="E37" s="364"/>
      <c r="F37" s="359"/>
      <c r="G37" s="366"/>
      <c r="H37" s="358"/>
      <c r="M37" s="71"/>
      <c r="N37" s="71"/>
      <c r="O37" s="71"/>
      <c r="P37" s="71"/>
      <c r="Q37" s="71"/>
      <c r="R37" s="71"/>
      <c r="S37" s="71"/>
      <c r="T37" s="71"/>
      <c r="U37" s="347"/>
      <c r="V37" s="348"/>
      <c r="W37" s="71"/>
      <c r="X37" s="71"/>
      <c r="Y37" s="71"/>
      <c r="Z37" s="71"/>
      <c r="AA37" s="71"/>
      <c r="AB37" s="71"/>
      <c r="AC37" s="71"/>
      <c r="AD37" s="71"/>
      <c r="AE37" s="71"/>
      <c r="AF37" s="71"/>
      <c r="AG37" s="71"/>
      <c r="AH37" s="71"/>
      <c r="AI37" s="71"/>
      <c r="AJ37" s="71"/>
      <c r="AK37" s="71"/>
      <c r="AL37" s="71"/>
      <c r="AM37"/>
      <c r="AN37"/>
      <c r="AO37"/>
      <c r="AP37"/>
      <c r="AQ37"/>
      <c r="AR37"/>
      <c r="AS37"/>
      <c r="AT37"/>
      <c r="AU37"/>
      <c r="AV37"/>
      <c r="AW37"/>
      <c r="AX37"/>
      <c r="AY37"/>
      <c r="AZ37"/>
      <c r="BA37"/>
      <c r="BB37"/>
      <c r="BC37"/>
      <c r="BD37"/>
    </row>
    <row r="38" spans="1:56" ht="11.1" customHeight="1" x14ac:dyDescent="0.2">
      <c r="A38" s="1"/>
      <c r="B38" s="1"/>
      <c r="C38" s="410"/>
      <c r="D38" s="433"/>
      <c r="E38" s="364"/>
      <c r="F38" s="359"/>
      <c r="G38" s="360"/>
      <c r="H38" s="361"/>
      <c r="M38" s="71"/>
      <c r="N38" s="71"/>
      <c r="O38" s="71"/>
      <c r="P38" s="71"/>
      <c r="Q38" s="71"/>
      <c r="R38" s="71"/>
      <c r="S38" s="71"/>
      <c r="T38" s="71"/>
      <c r="U38" s="347"/>
      <c r="V38" s="348"/>
      <c r="W38" s="71"/>
      <c r="X38" s="71"/>
      <c r="Y38" s="71"/>
      <c r="Z38" s="71"/>
      <c r="AA38" s="71"/>
      <c r="AB38" s="71"/>
      <c r="AC38" s="71"/>
      <c r="AD38" s="71"/>
      <c r="AE38" s="71"/>
      <c r="AF38" s="71"/>
      <c r="AG38" s="71"/>
      <c r="AH38" s="71"/>
      <c r="AI38" s="71"/>
      <c r="AJ38" s="71"/>
      <c r="AK38" s="71"/>
      <c r="AL38" s="71"/>
      <c r="AM38"/>
      <c r="AN38"/>
      <c r="AO38"/>
      <c r="AP38"/>
      <c r="AQ38"/>
      <c r="AR38"/>
      <c r="AS38"/>
      <c r="AT38"/>
      <c r="AU38"/>
      <c r="AV38"/>
      <c r="AW38"/>
      <c r="AX38"/>
      <c r="AY38"/>
      <c r="AZ38"/>
      <c r="BA38"/>
      <c r="BB38"/>
      <c r="BC38"/>
      <c r="BD38"/>
    </row>
    <row r="39" spans="1:56" ht="12" customHeight="1" x14ac:dyDescent="0.2">
      <c r="A39" s="6">
        <v>1.5</v>
      </c>
      <c r="B39" s="7" t="s">
        <v>28</v>
      </c>
      <c r="C39" s="413"/>
      <c r="D39" s="436"/>
      <c r="E39" s="364"/>
      <c r="F39" s="359"/>
      <c r="G39" s="366"/>
      <c r="H39" s="361"/>
      <c r="M39" s="71"/>
      <c r="N39" s="71"/>
      <c r="O39" s="71"/>
      <c r="P39" s="71"/>
      <c r="Q39" s="71"/>
      <c r="R39" s="71"/>
      <c r="S39" s="71"/>
      <c r="T39" s="71"/>
      <c r="U39" s="347"/>
      <c r="V39" s="348"/>
      <c r="W39" s="71"/>
      <c r="X39" s="71"/>
      <c r="Y39" s="71"/>
      <c r="Z39" s="71"/>
      <c r="AA39" s="71"/>
      <c r="AB39" s="71"/>
      <c r="AC39" s="71"/>
      <c r="AD39" s="71"/>
      <c r="AE39" s="71"/>
      <c r="AF39" s="71"/>
      <c r="AG39" s="71"/>
      <c r="AH39" s="71"/>
      <c r="AI39" s="71"/>
      <c r="AJ39" s="71"/>
      <c r="AK39" s="71"/>
      <c r="AL39" s="71"/>
      <c r="AM39"/>
      <c r="AN39"/>
      <c r="AO39"/>
      <c r="AP39"/>
      <c r="AQ39"/>
      <c r="AR39"/>
      <c r="AS39"/>
      <c r="AT39"/>
      <c r="AU39"/>
      <c r="AV39"/>
      <c r="AW39"/>
      <c r="AX39"/>
      <c r="AY39"/>
      <c r="AZ39"/>
      <c r="BA39"/>
      <c r="BB39"/>
      <c r="BC39"/>
      <c r="BD39"/>
    </row>
    <row r="40" spans="1:56" ht="51" customHeight="1" x14ac:dyDescent="0.2">
      <c r="A40" s="1"/>
      <c r="B40" s="8" t="s">
        <v>29</v>
      </c>
      <c r="C40" s="414"/>
      <c r="D40" s="438"/>
      <c r="E40" s="364"/>
      <c r="F40" s="359"/>
      <c r="G40" s="366"/>
      <c r="H40" s="361"/>
      <c r="M40" s="71"/>
      <c r="N40" s="71"/>
      <c r="O40" s="71"/>
      <c r="P40" s="71"/>
      <c r="Q40" s="71"/>
      <c r="R40" s="71"/>
      <c r="S40" s="71"/>
      <c r="T40" s="71"/>
      <c r="U40" s="347"/>
      <c r="V40" s="348"/>
      <c r="W40" s="71"/>
      <c r="X40" s="71"/>
      <c r="Y40" s="71"/>
      <c r="Z40" s="71"/>
      <c r="AA40" s="71"/>
      <c r="AB40" s="71"/>
      <c r="AC40" s="71"/>
      <c r="AD40" s="71"/>
      <c r="AE40" s="71"/>
      <c r="AF40" s="71"/>
      <c r="AG40" s="71"/>
      <c r="AH40" s="71"/>
      <c r="AI40" s="71"/>
      <c r="AJ40" s="71"/>
      <c r="AK40" s="71"/>
      <c r="AL40" s="71"/>
      <c r="AM40"/>
      <c r="AN40"/>
      <c r="AO40"/>
      <c r="AP40"/>
      <c r="AQ40"/>
      <c r="AR40"/>
      <c r="AS40"/>
      <c r="AT40"/>
      <c r="AU40"/>
      <c r="AV40"/>
      <c r="AW40"/>
      <c r="AX40"/>
      <c r="AY40"/>
      <c r="AZ40"/>
      <c r="BA40"/>
      <c r="BB40"/>
      <c r="BC40"/>
      <c r="BD40"/>
    </row>
    <row r="41" spans="1:56" ht="11.1" customHeight="1" x14ac:dyDescent="0.2">
      <c r="A41" s="1"/>
      <c r="B41" s="1"/>
      <c r="C41" s="410"/>
      <c r="D41" s="433"/>
      <c r="E41" s="364"/>
      <c r="F41" s="359"/>
      <c r="G41" s="360"/>
      <c r="H41" s="361"/>
      <c r="M41" s="71"/>
      <c r="N41" s="71"/>
      <c r="O41" s="71"/>
      <c r="P41" s="71"/>
      <c r="Q41" s="71"/>
      <c r="R41" s="71"/>
      <c r="S41" s="71"/>
      <c r="T41" s="71"/>
      <c r="U41" s="347"/>
      <c r="V41" s="348"/>
      <c r="W41" s="71"/>
      <c r="X41" s="71"/>
      <c r="Y41" s="71"/>
      <c r="Z41" s="71"/>
      <c r="AA41" s="71"/>
      <c r="AB41" s="71"/>
      <c r="AC41" s="71"/>
      <c r="AD41" s="71"/>
      <c r="AE41" s="71"/>
      <c r="AF41" s="71"/>
      <c r="AG41" s="71"/>
      <c r="AH41" s="71"/>
      <c r="AI41" s="71"/>
      <c r="AJ41" s="71"/>
      <c r="AK41" s="71"/>
      <c r="AL41" s="71"/>
      <c r="AM41"/>
      <c r="AN41"/>
      <c r="AO41"/>
      <c r="AP41"/>
      <c r="AQ41"/>
      <c r="AR41"/>
      <c r="AS41"/>
      <c r="AT41"/>
      <c r="AU41"/>
      <c r="AV41"/>
      <c r="AW41"/>
      <c r="AX41"/>
      <c r="AY41"/>
      <c r="AZ41"/>
      <c r="BA41"/>
      <c r="BB41"/>
      <c r="BC41"/>
      <c r="BD41"/>
    </row>
    <row r="42" spans="1:56" ht="12" customHeight="1" x14ac:dyDescent="0.2">
      <c r="A42" s="6">
        <v>1.6</v>
      </c>
      <c r="B42" s="7" t="s">
        <v>30</v>
      </c>
      <c r="C42" s="413"/>
      <c r="D42" s="436"/>
      <c r="E42" s="364"/>
      <c r="F42" s="359"/>
      <c r="G42" s="360"/>
      <c r="H42" s="361"/>
      <c r="M42" s="71"/>
      <c r="N42" s="71"/>
      <c r="O42" s="71"/>
      <c r="P42" s="71"/>
      <c r="Q42" s="71"/>
      <c r="R42" s="71"/>
      <c r="S42" s="71"/>
      <c r="T42" s="71"/>
      <c r="U42" s="347"/>
      <c r="V42" s="348"/>
      <c r="W42" s="71"/>
      <c r="X42" s="71"/>
      <c r="Y42" s="71"/>
      <c r="Z42" s="71"/>
      <c r="AA42" s="71"/>
      <c r="AB42" s="71"/>
      <c r="AC42" s="71"/>
      <c r="AD42" s="71"/>
      <c r="AE42" s="71"/>
      <c r="AF42" s="71"/>
      <c r="AG42" s="71"/>
      <c r="AH42" s="71"/>
      <c r="AI42" s="71"/>
      <c r="AJ42" s="71"/>
      <c r="AK42" s="71"/>
      <c r="AL42" s="71"/>
      <c r="AM42"/>
      <c r="AN42"/>
      <c r="AO42"/>
      <c r="AP42"/>
      <c r="AQ42"/>
      <c r="AR42"/>
      <c r="AS42"/>
      <c r="AT42"/>
      <c r="AU42"/>
      <c r="AV42"/>
      <c r="AW42"/>
      <c r="AX42"/>
      <c r="AY42"/>
      <c r="AZ42"/>
      <c r="BA42"/>
      <c r="BB42"/>
      <c r="BC42"/>
      <c r="BD42"/>
    </row>
    <row r="43" spans="1:56" ht="24.95" customHeight="1" x14ac:dyDescent="0.2">
      <c r="A43" s="1"/>
      <c r="B43" s="8" t="s">
        <v>31</v>
      </c>
      <c r="C43" s="414"/>
      <c r="D43" s="438"/>
      <c r="E43" s="364"/>
      <c r="F43" s="359"/>
      <c r="G43" s="360"/>
      <c r="H43" s="361"/>
      <c r="M43" s="71"/>
      <c r="N43" s="71"/>
      <c r="O43" s="71"/>
      <c r="P43" s="71"/>
      <c r="Q43" s="71"/>
      <c r="R43" s="71"/>
      <c r="S43" s="71"/>
      <c r="T43" s="71"/>
      <c r="U43" s="347"/>
      <c r="V43" s="348"/>
      <c r="W43" s="71"/>
      <c r="X43" s="71"/>
      <c r="Y43" s="71"/>
      <c r="Z43" s="71"/>
      <c r="AA43" s="71"/>
      <c r="AB43" s="71"/>
      <c r="AC43" s="71"/>
      <c r="AD43" s="71"/>
      <c r="AE43" s="71"/>
      <c r="AF43" s="71"/>
      <c r="AG43" s="71"/>
      <c r="AH43" s="71"/>
      <c r="AI43" s="71"/>
      <c r="AJ43" s="71"/>
      <c r="AK43" s="71"/>
      <c r="AL43" s="71"/>
      <c r="AM43"/>
      <c r="AN43"/>
      <c r="AO43"/>
      <c r="AP43"/>
      <c r="AQ43"/>
      <c r="AR43"/>
      <c r="AS43"/>
      <c r="AT43"/>
      <c r="AU43"/>
      <c r="AV43"/>
      <c r="AW43"/>
      <c r="AX43"/>
      <c r="AY43"/>
      <c r="AZ43"/>
      <c r="BA43"/>
      <c r="BB43"/>
      <c r="BC43"/>
      <c r="BD43"/>
    </row>
    <row r="44" spans="1:56" ht="11.1" customHeight="1" x14ac:dyDescent="0.2">
      <c r="A44" s="1"/>
      <c r="B44" s="1"/>
      <c r="C44" s="410"/>
      <c r="D44" s="433"/>
      <c r="E44" s="364"/>
      <c r="F44" s="359"/>
      <c r="G44" s="360"/>
      <c r="H44" s="361"/>
      <c r="M44" s="71"/>
      <c r="N44" s="71"/>
      <c r="O44" s="71"/>
      <c r="P44" s="71"/>
      <c r="Q44" s="71"/>
      <c r="R44" s="71"/>
      <c r="S44" s="71"/>
      <c r="T44" s="71"/>
      <c r="U44" s="347"/>
      <c r="V44" s="348"/>
      <c r="W44" s="71"/>
      <c r="X44" s="71"/>
      <c r="Y44" s="71"/>
      <c r="Z44" s="71"/>
      <c r="AA44" s="71"/>
      <c r="AB44" s="71"/>
      <c r="AC44" s="71"/>
      <c r="AD44" s="71"/>
      <c r="AE44" s="71"/>
      <c r="AF44" s="71"/>
      <c r="AG44" s="71"/>
      <c r="AH44" s="71"/>
      <c r="AI44" s="71"/>
      <c r="AJ44" s="71"/>
      <c r="AK44" s="71"/>
      <c r="AL44" s="71"/>
      <c r="AM44"/>
      <c r="AN44"/>
      <c r="AO44"/>
      <c r="AP44"/>
      <c r="AQ44"/>
      <c r="AR44"/>
      <c r="AS44"/>
      <c r="AT44"/>
      <c r="AU44"/>
      <c r="AV44"/>
      <c r="AW44"/>
      <c r="AX44"/>
      <c r="AY44"/>
      <c r="AZ44"/>
      <c r="BA44"/>
      <c r="BB44"/>
      <c r="BC44"/>
      <c r="BD44"/>
    </row>
    <row r="45" spans="1:56" ht="51" customHeight="1" x14ac:dyDescent="0.2">
      <c r="A45" s="1"/>
      <c r="B45" s="8" t="s">
        <v>32</v>
      </c>
      <c r="C45" s="414"/>
      <c r="D45" s="438"/>
      <c r="E45" s="364"/>
      <c r="F45" s="359"/>
      <c r="G45" s="360"/>
      <c r="H45" s="361"/>
      <c r="M45" s="71"/>
      <c r="N45" s="71"/>
      <c r="O45" s="71"/>
      <c r="P45" s="71"/>
      <c r="Q45" s="71"/>
      <c r="R45" s="71"/>
      <c r="S45" s="71"/>
      <c r="T45" s="71"/>
      <c r="U45" s="347"/>
      <c r="V45" s="348"/>
      <c r="W45" s="71"/>
      <c r="X45" s="71"/>
      <c r="Y45" s="71"/>
      <c r="Z45" s="71"/>
      <c r="AA45" s="71"/>
      <c r="AB45" s="71"/>
      <c r="AC45" s="71"/>
      <c r="AD45" s="71"/>
      <c r="AE45" s="71"/>
      <c r="AF45" s="71"/>
      <c r="AG45" s="71"/>
      <c r="AH45" s="71"/>
      <c r="AI45" s="71"/>
      <c r="AJ45" s="71"/>
      <c r="AK45" s="71"/>
      <c r="AL45" s="71"/>
      <c r="AM45"/>
      <c r="AN45"/>
      <c r="AO45"/>
      <c r="AP45"/>
      <c r="AQ45"/>
      <c r="AR45"/>
      <c r="AS45"/>
      <c r="AT45"/>
      <c r="AU45"/>
      <c r="AV45"/>
      <c r="AW45"/>
      <c r="AX45"/>
      <c r="AY45"/>
      <c r="AZ45"/>
      <c r="BA45"/>
      <c r="BB45"/>
      <c r="BC45"/>
      <c r="BD45"/>
    </row>
    <row r="46" spans="1:56" ht="11.1" customHeight="1" x14ac:dyDescent="0.2">
      <c r="A46" s="1"/>
      <c r="B46" s="1"/>
      <c r="C46" s="410"/>
      <c r="D46" s="433"/>
      <c r="E46" s="364"/>
      <c r="F46" s="359"/>
      <c r="G46" s="360"/>
      <c r="H46" s="361"/>
      <c r="M46" s="71"/>
      <c r="N46" s="71"/>
      <c r="O46" s="71"/>
      <c r="P46" s="71"/>
      <c r="Q46" s="71"/>
      <c r="R46" s="71"/>
      <c r="S46" s="71"/>
      <c r="T46" s="71"/>
      <c r="U46" s="347"/>
      <c r="V46" s="348"/>
      <c r="W46" s="71"/>
      <c r="X46" s="71"/>
      <c r="Y46" s="71"/>
      <c r="Z46" s="71"/>
      <c r="AA46" s="71"/>
      <c r="AB46" s="71"/>
      <c r="AC46" s="71"/>
      <c r="AD46" s="71"/>
      <c r="AE46" s="71"/>
      <c r="AF46" s="71"/>
      <c r="AG46" s="71"/>
      <c r="AH46" s="71"/>
      <c r="AI46" s="71"/>
      <c r="AJ46" s="71"/>
      <c r="AK46" s="71"/>
      <c r="AL46" s="71"/>
      <c r="AM46"/>
      <c r="AN46"/>
      <c r="AO46"/>
      <c r="AP46"/>
      <c r="AQ46"/>
      <c r="AR46"/>
      <c r="AS46"/>
      <c r="AT46"/>
      <c r="AU46"/>
      <c r="AV46"/>
      <c r="AW46"/>
      <c r="AX46"/>
      <c r="AY46"/>
      <c r="AZ46"/>
      <c r="BA46"/>
      <c r="BB46"/>
      <c r="BC46"/>
      <c r="BD46"/>
    </row>
    <row r="47" spans="1:56" ht="38.1" customHeight="1" x14ac:dyDescent="0.2">
      <c r="A47" s="1"/>
      <c r="B47" s="8" t="s">
        <v>33</v>
      </c>
      <c r="C47" s="414"/>
      <c r="D47" s="438"/>
      <c r="E47" s="364"/>
      <c r="F47" s="359"/>
      <c r="G47" s="366"/>
      <c r="H47" s="361"/>
      <c r="M47" s="71"/>
      <c r="N47" s="71"/>
      <c r="O47" s="71"/>
      <c r="P47" s="71"/>
      <c r="Q47" s="71"/>
      <c r="R47" s="71"/>
      <c r="S47" s="71"/>
      <c r="T47" s="71"/>
      <c r="U47" s="347"/>
      <c r="V47" s="348"/>
      <c r="W47" s="71"/>
      <c r="X47" s="71"/>
      <c r="Y47" s="71"/>
      <c r="Z47" s="71"/>
      <c r="AA47" s="71"/>
      <c r="AB47" s="71"/>
      <c r="AC47" s="71"/>
      <c r="AD47" s="71"/>
      <c r="AE47" s="71"/>
      <c r="AF47" s="71"/>
      <c r="AG47" s="71"/>
      <c r="AH47" s="71"/>
      <c r="AI47" s="71"/>
      <c r="AJ47" s="71"/>
      <c r="AK47" s="71"/>
      <c r="AL47" s="71"/>
      <c r="AM47"/>
      <c r="AN47"/>
      <c r="AO47"/>
      <c r="AP47"/>
      <c r="AQ47"/>
      <c r="AR47"/>
      <c r="AS47"/>
      <c r="AT47"/>
      <c r="AU47"/>
      <c r="AV47"/>
      <c r="AW47"/>
      <c r="AX47"/>
      <c r="AY47"/>
      <c r="AZ47"/>
      <c r="BA47"/>
      <c r="BB47"/>
      <c r="BC47"/>
      <c r="BD47"/>
    </row>
    <row r="48" spans="1:56" ht="11.1" customHeight="1" x14ac:dyDescent="0.2">
      <c r="A48" s="1"/>
      <c r="B48" s="1"/>
      <c r="C48" s="410"/>
      <c r="D48" s="433"/>
      <c r="E48" s="364"/>
      <c r="F48" s="359"/>
      <c r="G48" s="360"/>
      <c r="H48" s="361"/>
      <c r="M48" s="71"/>
      <c r="N48" s="71"/>
      <c r="O48" s="71"/>
      <c r="P48" s="71"/>
      <c r="Q48" s="71"/>
      <c r="R48" s="71"/>
      <c r="S48" s="71"/>
      <c r="T48" s="71"/>
      <c r="U48" s="347"/>
      <c r="V48" s="348"/>
      <c r="W48" s="71"/>
      <c r="X48" s="71"/>
      <c r="Y48" s="71"/>
      <c r="Z48" s="71"/>
      <c r="AA48" s="71"/>
      <c r="AB48" s="71"/>
      <c r="AC48" s="71"/>
      <c r="AD48" s="71"/>
      <c r="AE48" s="71"/>
      <c r="AF48" s="71"/>
      <c r="AG48" s="71"/>
      <c r="AH48" s="71"/>
      <c r="AI48" s="71"/>
      <c r="AJ48" s="71"/>
      <c r="AK48" s="71"/>
      <c r="AL48" s="71"/>
      <c r="AM48"/>
      <c r="AN48"/>
      <c r="AO48"/>
      <c r="AP48"/>
      <c r="AQ48"/>
      <c r="AR48"/>
      <c r="AS48"/>
      <c r="AT48"/>
      <c r="AU48"/>
      <c r="AV48"/>
      <c r="AW48"/>
      <c r="AX48"/>
      <c r="AY48"/>
      <c r="AZ48"/>
      <c r="BA48"/>
      <c r="BB48"/>
      <c r="BC48"/>
      <c r="BD48"/>
    </row>
    <row r="49" spans="1:56" ht="24.95" customHeight="1" x14ac:dyDescent="0.2">
      <c r="A49" s="1"/>
      <c r="B49" s="8" t="s">
        <v>34</v>
      </c>
      <c r="C49" s="414"/>
      <c r="D49" s="438"/>
      <c r="E49" s="364"/>
      <c r="F49" s="359"/>
      <c r="G49" s="360"/>
      <c r="H49" s="361"/>
      <c r="M49" s="71"/>
      <c r="N49" s="71"/>
      <c r="O49" s="71"/>
      <c r="P49" s="71"/>
      <c r="Q49" s="71"/>
      <c r="R49" s="71"/>
      <c r="S49" s="71"/>
      <c r="T49" s="71"/>
      <c r="U49" s="347"/>
      <c r="V49" s="348"/>
      <c r="W49" s="71"/>
      <c r="X49" s="71"/>
      <c r="Y49" s="71"/>
      <c r="Z49" s="71"/>
      <c r="AA49" s="71"/>
      <c r="AB49" s="71"/>
      <c r="AC49" s="71"/>
      <c r="AD49" s="71"/>
      <c r="AE49" s="71"/>
      <c r="AF49" s="71"/>
      <c r="AG49" s="71"/>
      <c r="AH49" s="71"/>
      <c r="AI49" s="71"/>
      <c r="AJ49" s="71"/>
      <c r="AK49" s="71"/>
      <c r="AL49" s="71"/>
      <c r="AM49"/>
      <c r="AN49"/>
      <c r="AO49"/>
      <c r="AP49"/>
      <c r="AQ49"/>
      <c r="AR49"/>
      <c r="AS49"/>
      <c r="AT49"/>
      <c r="AU49"/>
      <c r="AV49"/>
      <c r="AW49"/>
      <c r="AX49"/>
      <c r="AY49"/>
      <c r="AZ49"/>
      <c r="BA49"/>
      <c r="BB49"/>
      <c r="BC49"/>
      <c r="BD49"/>
    </row>
    <row r="50" spans="1:56" ht="11.1" customHeight="1" x14ac:dyDescent="0.2">
      <c r="A50" s="1"/>
      <c r="B50" s="1"/>
      <c r="C50" s="410"/>
      <c r="D50" s="433"/>
      <c r="E50" s="364"/>
      <c r="F50" s="359"/>
      <c r="G50" s="360"/>
      <c r="H50" s="361"/>
      <c r="M50" s="71"/>
      <c r="N50" s="71"/>
      <c r="O50" s="71"/>
      <c r="P50" s="71"/>
      <c r="Q50" s="71"/>
      <c r="R50" s="71"/>
      <c r="S50" s="71"/>
      <c r="T50" s="71"/>
      <c r="U50" s="347"/>
      <c r="V50" s="348"/>
      <c r="W50" s="71"/>
      <c r="X50" s="71"/>
      <c r="Y50" s="71"/>
      <c r="Z50" s="71"/>
      <c r="AA50" s="71"/>
      <c r="AB50" s="71"/>
      <c r="AC50" s="71"/>
      <c r="AD50" s="71"/>
      <c r="AE50" s="71"/>
      <c r="AF50" s="71"/>
      <c r="AG50" s="71"/>
      <c r="AH50" s="71"/>
      <c r="AI50" s="71"/>
      <c r="AJ50" s="71"/>
      <c r="AK50" s="71"/>
      <c r="AL50" s="71"/>
      <c r="AM50"/>
      <c r="AN50"/>
      <c r="AO50"/>
      <c r="AP50"/>
      <c r="AQ50"/>
      <c r="AR50"/>
      <c r="AS50"/>
      <c r="AT50"/>
      <c r="AU50"/>
      <c r="AV50"/>
      <c r="AW50"/>
      <c r="AX50"/>
      <c r="AY50"/>
      <c r="AZ50"/>
      <c r="BA50"/>
      <c r="BB50"/>
      <c r="BC50"/>
      <c r="BD50"/>
    </row>
    <row r="51" spans="1:56" ht="53.1" customHeight="1" x14ac:dyDescent="0.2">
      <c r="A51" s="1"/>
      <c r="B51" s="8" t="s">
        <v>35</v>
      </c>
      <c r="C51" s="414"/>
      <c r="D51" s="438"/>
      <c r="E51" s="364"/>
      <c r="F51" s="359"/>
      <c r="G51" s="360"/>
      <c r="H51" s="361"/>
      <c r="M51" s="71"/>
      <c r="N51" s="71"/>
      <c r="O51" s="71"/>
      <c r="P51" s="71"/>
      <c r="Q51" s="71"/>
      <c r="R51" s="71"/>
      <c r="S51" s="71"/>
      <c r="T51" s="71"/>
      <c r="U51" s="347"/>
      <c r="V51" s="348"/>
      <c r="W51" s="71"/>
      <c r="X51" s="71"/>
      <c r="Y51" s="71"/>
      <c r="Z51" s="71"/>
      <c r="AA51" s="71"/>
      <c r="AB51" s="71"/>
      <c r="AC51" s="71"/>
      <c r="AD51" s="71"/>
      <c r="AE51" s="71"/>
      <c r="AF51" s="71"/>
      <c r="AG51" s="71"/>
      <c r="AH51" s="71"/>
      <c r="AI51" s="71"/>
      <c r="AJ51" s="71"/>
      <c r="AK51" s="71"/>
      <c r="AL51" s="71"/>
      <c r="AM51"/>
      <c r="AN51"/>
      <c r="AO51"/>
      <c r="AP51"/>
      <c r="AQ51"/>
      <c r="AR51"/>
      <c r="AS51"/>
      <c r="AT51"/>
      <c r="AU51"/>
      <c r="AV51"/>
      <c r="AW51"/>
      <c r="AX51"/>
      <c r="AY51"/>
      <c r="AZ51"/>
      <c r="BA51"/>
      <c r="BB51"/>
      <c r="BC51"/>
      <c r="BD51"/>
    </row>
    <row r="52" spans="1:56" ht="11.1" customHeight="1" x14ac:dyDescent="0.2">
      <c r="A52" s="1"/>
      <c r="B52" s="1"/>
      <c r="C52" s="410"/>
      <c r="D52" s="433"/>
      <c r="E52" s="364"/>
      <c r="F52" s="359"/>
      <c r="G52" s="360"/>
      <c r="H52" s="361"/>
      <c r="M52" s="71"/>
      <c r="N52" s="71"/>
      <c r="O52" s="71"/>
      <c r="P52" s="71"/>
      <c r="Q52" s="71"/>
      <c r="R52" s="71"/>
      <c r="S52" s="71"/>
      <c r="T52" s="71"/>
      <c r="U52" s="347"/>
      <c r="V52" s="348"/>
      <c r="W52" s="71"/>
      <c r="X52" s="71"/>
      <c r="Y52" s="71"/>
      <c r="Z52" s="71"/>
      <c r="AA52" s="71"/>
      <c r="AB52" s="71"/>
      <c r="AC52" s="71"/>
      <c r="AD52" s="71"/>
      <c r="AE52" s="71"/>
      <c r="AF52" s="71"/>
      <c r="AG52" s="71"/>
      <c r="AH52" s="71"/>
      <c r="AI52" s="71"/>
      <c r="AJ52" s="71"/>
      <c r="AK52" s="71"/>
      <c r="AL52" s="71"/>
      <c r="AM52"/>
      <c r="AN52"/>
      <c r="AO52"/>
      <c r="AP52"/>
      <c r="AQ52"/>
      <c r="AR52"/>
      <c r="AS52"/>
      <c r="AT52"/>
      <c r="AU52"/>
      <c r="AV52"/>
      <c r="AW52"/>
      <c r="AX52"/>
      <c r="AY52"/>
      <c r="AZ52"/>
      <c r="BA52"/>
      <c r="BB52"/>
      <c r="BC52"/>
      <c r="BD52"/>
    </row>
    <row r="53" spans="1:56" ht="24.95" customHeight="1" x14ac:dyDescent="0.2">
      <c r="A53" s="1"/>
      <c r="B53" s="8" t="s">
        <v>36</v>
      </c>
      <c r="C53" s="414"/>
      <c r="D53" s="438"/>
      <c r="E53" s="364"/>
      <c r="F53" s="359"/>
      <c r="G53" s="360"/>
      <c r="H53" s="361"/>
      <c r="M53" s="71"/>
      <c r="N53" s="71"/>
      <c r="O53" s="71"/>
      <c r="P53" s="71"/>
      <c r="Q53" s="71"/>
      <c r="R53" s="71"/>
      <c r="S53" s="71"/>
      <c r="T53" s="71"/>
      <c r="U53" s="347"/>
      <c r="V53" s="348"/>
      <c r="W53" s="71"/>
      <c r="X53" s="71"/>
      <c r="Y53" s="71"/>
      <c r="Z53" s="71"/>
      <c r="AA53" s="71"/>
      <c r="AB53" s="71"/>
      <c r="AC53" s="71"/>
      <c r="AD53" s="71"/>
      <c r="AE53" s="71"/>
      <c r="AF53" s="71"/>
      <c r="AG53" s="71"/>
      <c r="AH53" s="71"/>
      <c r="AI53" s="71"/>
      <c r="AJ53" s="71"/>
      <c r="AK53" s="71"/>
      <c r="AL53" s="71"/>
      <c r="AM53"/>
      <c r="AN53"/>
      <c r="AO53"/>
      <c r="AP53"/>
      <c r="AQ53"/>
      <c r="AR53"/>
      <c r="AS53"/>
      <c r="AT53"/>
      <c r="AU53"/>
      <c r="AV53"/>
      <c r="AW53"/>
      <c r="AX53"/>
      <c r="AY53"/>
      <c r="AZ53"/>
      <c r="BA53"/>
      <c r="BB53"/>
      <c r="BC53"/>
      <c r="BD53"/>
    </row>
    <row r="54" spans="1:56" ht="11.1" customHeight="1" x14ac:dyDescent="0.2">
      <c r="A54" s="1"/>
      <c r="B54" s="1"/>
      <c r="C54" s="410"/>
      <c r="D54" s="433"/>
      <c r="E54" s="364"/>
      <c r="F54" s="359"/>
      <c r="G54" s="360"/>
      <c r="H54" s="361"/>
      <c r="M54" s="71"/>
      <c r="N54" s="71"/>
      <c r="O54" s="71"/>
      <c r="P54" s="71"/>
      <c r="Q54" s="71"/>
      <c r="R54" s="71"/>
      <c r="S54" s="71"/>
      <c r="T54" s="71"/>
      <c r="U54" s="347"/>
      <c r="V54" s="348"/>
      <c r="W54" s="71"/>
      <c r="X54" s="71"/>
      <c r="Y54" s="71"/>
      <c r="Z54" s="71"/>
      <c r="AA54" s="71"/>
      <c r="AB54" s="71"/>
      <c r="AC54" s="71"/>
      <c r="AD54" s="71"/>
      <c r="AE54" s="71"/>
      <c r="AF54" s="71"/>
      <c r="AG54" s="71"/>
      <c r="AH54" s="71"/>
      <c r="AI54" s="71"/>
      <c r="AJ54" s="71"/>
      <c r="AK54" s="71"/>
      <c r="AL54" s="71"/>
      <c r="AM54"/>
      <c r="AN54"/>
      <c r="AO54"/>
      <c r="AP54"/>
      <c r="AQ54"/>
      <c r="AR54"/>
      <c r="AS54"/>
      <c r="AT54"/>
      <c r="AU54"/>
      <c r="AV54"/>
      <c r="AW54"/>
      <c r="AX54"/>
      <c r="AY54"/>
      <c r="AZ54"/>
      <c r="BA54"/>
      <c r="BB54"/>
      <c r="BC54"/>
      <c r="BD54"/>
    </row>
    <row r="55" spans="1:56" ht="75.95" customHeight="1" x14ac:dyDescent="0.2">
      <c r="A55" s="1"/>
      <c r="B55" s="8" t="s">
        <v>37</v>
      </c>
      <c r="C55" s="414"/>
      <c r="D55" s="438"/>
      <c r="E55" s="364"/>
      <c r="F55" s="359"/>
      <c r="G55" s="366"/>
      <c r="H55" s="358"/>
      <c r="M55" s="71"/>
      <c r="N55" s="71"/>
      <c r="O55" s="71"/>
      <c r="P55" s="71"/>
      <c r="Q55" s="71"/>
      <c r="R55" s="71"/>
      <c r="S55" s="71"/>
      <c r="T55" s="71"/>
      <c r="U55" s="347"/>
      <c r="V55" s="348"/>
      <c r="W55" s="71"/>
      <c r="X55" s="71"/>
      <c r="Y55" s="71"/>
      <c r="Z55" s="71"/>
      <c r="AA55" s="71"/>
      <c r="AB55" s="71"/>
      <c r="AC55" s="71"/>
      <c r="AD55" s="71"/>
      <c r="AE55" s="71"/>
      <c r="AF55" s="71"/>
      <c r="AG55" s="71"/>
      <c r="AH55" s="71"/>
      <c r="AI55" s="71"/>
      <c r="AJ55" s="71"/>
      <c r="AK55" s="71"/>
      <c r="AL55" s="71"/>
      <c r="AM55"/>
      <c r="AN55"/>
      <c r="AO55"/>
      <c r="AP55"/>
      <c r="AQ55"/>
      <c r="AR55"/>
      <c r="AS55"/>
      <c r="AT55"/>
      <c r="AU55"/>
      <c r="AV55"/>
      <c r="AW55"/>
      <c r="AX55"/>
      <c r="AY55"/>
      <c r="AZ55"/>
      <c r="BA55"/>
      <c r="BB55"/>
      <c r="BC55"/>
      <c r="BD55"/>
    </row>
    <row r="56" spans="1:56" ht="11.1" customHeight="1" x14ac:dyDescent="0.2">
      <c r="A56" s="1"/>
      <c r="B56" s="1"/>
      <c r="C56" s="410"/>
      <c r="D56" s="433"/>
      <c r="E56" s="364"/>
      <c r="F56" s="359"/>
      <c r="G56" s="360"/>
      <c r="H56" s="361"/>
      <c r="M56" s="71"/>
      <c r="N56" s="71"/>
      <c r="O56" s="71"/>
      <c r="P56" s="71"/>
      <c r="Q56" s="71"/>
      <c r="R56" s="71"/>
      <c r="S56" s="71"/>
      <c r="T56" s="71"/>
      <c r="U56" s="347"/>
      <c r="V56" s="348"/>
      <c r="W56" s="71"/>
      <c r="X56" s="71"/>
      <c r="Y56" s="71"/>
      <c r="Z56" s="71"/>
      <c r="AA56" s="71"/>
      <c r="AB56" s="71"/>
      <c r="AC56" s="71"/>
      <c r="AD56" s="71"/>
      <c r="AE56" s="71"/>
      <c r="AF56" s="71"/>
      <c r="AG56" s="71"/>
      <c r="AH56" s="71"/>
      <c r="AI56" s="71"/>
      <c r="AJ56" s="71"/>
      <c r="AK56" s="71"/>
      <c r="AL56" s="71"/>
      <c r="AM56"/>
      <c r="AN56"/>
      <c r="AO56"/>
      <c r="AP56"/>
      <c r="AQ56"/>
      <c r="AR56"/>
      <c r="AS56"/>
      <c r="AT56"/>
      <c r="AU56"/>
      <c r="AV56"/>
      <c r="AW56"/>
      <c r="AX56"/>
      <c r="AY56"/>
      <c r="AZ56"/>
      <c r="BA56"/>
      <c r="BB56"/>
      <c r="BC56"/>
      <c r="BD56"/>
    </row>
    <row r="57" spans="1:56" ht="24.95" customHeight="1" x14ac:dyDescent="0.2">
      <c r="A57" s="1"/>
      <c r="B57" s="8" t="s">
        <v>38</v>
      </c>
      <c r="C57" s="414"/>
      <c r="D57" s="438"/>
      <c r="E57" s="364"/>
      <c r="F57" s="359"/>
      <c r="G57" s="360"/>
      <c r="H57" s="358"/>
      <c r="M57" s="71"/>
      <c r="N57" s="71"/>
      <c r="O57" s="71"/>
      <c r="P57" s="71"/>
      <c r="Q57" s="71"/>
      <c r="R57" s="71"/>
      <c r="S57" s="71"/>
      <c r="T57" s="71"/>
      <c r="U57" s="347"/>
      <c r="V57" s="348"/>
      <c r="W57" s="71"/>
      <c r="X57" s="71"/>
      <c r="Y57" s="71"/>
      <c r="Z57" s="71"/>
      <c r="AA57" s="71"/>
      <c r="AB57" s="71"/>
      <c r="AC57" s="71"/>
      <c r="AD57" s="71"/>
      <c r="AE57" s="71"/>
      <c r="AF57" s="71"/>
      <c r="AG57" s="71"/>
      <c r="AH57" s="71"/>
      <c r="AI57" s="71"/>
      <c r="AJ57" s="71"/>
      <c r="AK57" s="71"/>
      <c r="AL57" s="71"/>
      <c r="AM57"/>
      <c r="AN57"/>
      <c r="AO57"/>
      <c r="AP57"/>
      <c r="AQ57"/>
      <c r="AR57"/>
      <c r="AS57"/>
      <c r="AT57"/>
      <c r="AU57"/>
      <c r="AV57"/>
      <c r="AW57"/>
      <c r="AX57"/>
      <c r="AY57"/>
      <c r="AZ57"/>
      <c r="BA57"/>
      <c r="BB57"/>
      <c r="BC57"/>
      <c r="BD57"/>
    </row>
    <row r="58" spans="1:56" ht="11.1" customHeight="1" x14ac:dyDescent="0.2">
      <c r="A58" s="1"/>
      <c r="B58" s="1"/>
      <c r="C58" s="410"/>
      <c r="D58" s="433"/>
      <c r="E58" s="364"/>
      <c r="F58" s="359"/>
      <c r="G58" s="367"/>
      <c r="H58" s="368"/>
      <c r="I58" s="64"/>
      <c r="M58" s="71"/>
      <c r="N58" s="71"/>
      <c r="O58" s="71"/>
      <c r="P58" s="71"/>
      <c r="Q58" s="71"/>
      <c r="R58" s="71"/>
      <c r="S58" s="71"/>
      <c r="T58" s="71"/>
      <c r="U58" s="347"/>
      <c r="V58" s="348"/>
      <c r="W58" s="71"/>
      <c r="X58" s="71"/>
      <c r="Y58" s="71"/>
      <c r="Z58" s="71"/>
      <c r="AA58" s="71"/>
      <c r="AB58" s="71"/>
      <c r="AC58" s="71"/>
      <c r="AD58" s="71"/>
      <c r="AE58" s="71"/>
      <c r="AF58" s="71"/>
      <c r="AG58" s="71"/>
      <c r="AH58" s="71"/>
      <c r="AI58" s="71"/>
      <c r="AJ58" s="71"/>
      <c r="AK58" s="71"/>
      <c r="AL58" s="71"/>
      <c r="AM58"/>
      <c r="AN58"/>
      <c r="AO58"/>
      <c r="AP58"/>
      <c r="AQ58"/>
      <c r="AR58"/>
      <c r="AS58"/>
      <c r="AT58"/>
      <c r="AU58"/>
      <c r="AV58"/>
      <c r="AW58"/>
      <c r="AX58"/>
      <c r="AY58"/>
      <c r="AZ58"/>
      <c r="BA58"/>
      <c r="BB58"/>
      <c r="BC58"/>
      <c r="BD58"/>
    </row>
    <row r="59" spans="1:56" ht="24.95" customHeight="1" x14ac:dyDescent="0.2">
      <c r="A59" s="1"/>
      <c r="B59" s="8" t="s">
        <v>39</v>
      </c>
      <c r="C59" s="414"/>
      <c r="D59" s="438"/>
      <c r="E59" s="364"/>
      <c r="F59" s="359"/>
      <c r="G59" s="366"/>
      <c r="H59" s="358"/>
      <c r="M59" s="71"/>
      <c r="N59" s="71"/>
      <c r="O59" s="71"/>
      <c r="P59" s="71"/>
      <c r="Q59" s="71"/>
      <c r="R59" s="71"/>
      <c r="S59" s="71"/>
      <c r="T59" s="71"/>
      <c r="U59" s="347"/>
      <c r="V59" s="348"/>
      <c r="W59" s="71"/>
      <c r="X59" s="71"/>
      <c r="Y59" s="71"/>
      <c r="Z59" s="71"/>
      <c r="AA59" s="71"/>
      <c r="AB59" s="71"/>
      <c r="AC59" s="71"/>
      <c r="AD59" s="71"/>
      <c r="AE59" s="71"/>
      <c r="AF59" s="71"/>
      <c r="AG59" s="71"/>
      <c r="AH59" s="71"/>
      <c r="AI59" s="71"/>
      <c r="AJ59" s="71"/>
      <c r="AK59" s="71"/>
      <c r="AL59" s="71"/>
      <c r="AM59"/>
      <c r="AN59"/>
      <c r="AO59"/>
      <c r="AP59"/>
      <c r="AQ59"/>
      <c r="AR59"/>
      <c r="AS59"/>
      <c r="AT59"/>
      <c r="AU59"/>
      <c r="AV59"/>
      <c r="AW59"/>
      <c r="AX59"/>
      <c r="AY59"/>
      <c r="AZ59"/>
      <c r="BA59"/>
      <c r="BB59"/>
      <c r="BC59"/>
      <c r="BD59"/>
    </row>
    <row r="60" spans="1:56" ht="11.1" customHeight="1" x14ac:dyDescent="0.2">
      <c r="A60" s="1"/>
      <c r="B60" s="1"/>
      <c r="C60" s="410"/>
      <c r="D60" s="433"/>
      <c r="E60" s="364"/>
      <c r="F60" s="369"/>
      <c r="G60" s="360"/>
      <c r="H60" s="361"/>
      <c r="M60" s="71"/>
      <c r="N60" s="71"/>
      <c r="O60" s="71"/>
      <c r="P60" s="71"/>
      <c r="Q60" s="71"/>
      <c r="R60" s="71"/>
      <c r="S60" s="71"/>
      <c r="T60" s="71"/>
      <c r="U60" s="347"/>
      <c r="V60" s="348"/>
      <c r="W60" s="71"/>
      <c r="X60" s="71"/>
      <c r="Y60" s="71"/>
      <c r="Z60" s="71"/>
      <c r="AA60" s="71"/>
      <c r="AB60" s="71"/>
      <c r="AC60" s="71"/>
      <c r="AD60" s="71"/>
      <c r="AE60" s="71"/>
      <c r="AF60" s="71"/>
      <c r="AG60" s="71"/>
      <c r="AH60" s="71"/>
      <c r="AI60" s="71"/>
      <c r="AJ60" s="71"/>
      <c r="AK60" s="71"/>
      <c r="AL60" s="71"/>
      <c r="AM60"/>
      <c r="AN60"/>
      <c r="AO60"/>
      <c r="AP60"/>
      <c r="AQ60"/>
      <c r="AR60"/>
      <c r="AS60"/>
      <c r="AT60"/>
      <c r="AU60"/>
      <c r="AV60"/>
      <c r="AW60"/>
      <c r="AX60"/>
      <c r="AY60"/>
      <c r="AZ60"/>
      <c r="BA60"/>
      <c r="BB60"/>
      <c r="BC60"/>
      <c r="BD60"/>
    </row>
    <row r="61" spans="1:56" ht="12" customHeight="1" x14ac:dyDescent="0.2">
      <c r="A61" s="6">
        <v>1.7</v>
      </c>
      <c r="B61" s="7" t="s">
        <v>40</v>
      </c>
      <c r="C61" s="413"/>
      <c r="D61" s="436"/>
      <c r="E61" s="364"/>
      <c r="F61" s="359"/>
      <c r="G61" s="366"/>
      <c r="H61" s="358"/>
      <c r="M61" s="71"/>
      <c r="N61" s="71"/>
      <c r="O61" s="71"/>
      <c r="P61" s="71"/>
      <c r="Q61" s="71"/>
      <c r="R61" s="71"/>
      <c r="S61" s="71"/>
      <c r="T61" s="71"/>
      <c r="U61" s="347"/>
      <c r="V61" s="348"/>
      <c r="W61" s="71"/>
      <c r="X61" s="71"/>
      <c r="Y61" s="71"/>
      <c r="Z61" s="71"/>
      <c r="AA61" s="71"/>
      <c r="AB61" s="71"/>
      <c r="AC61" s="71"/>
      <c r="AD61" s="71"/>
      <c r="AE61" s="71"/>
      <c r="AF61" s="71"/>
      <c r="AG61" s="71"/>
      <c r="AH61" s="71"/>
      <c r="AI61" s="71"/>
      <c r="AJ61" s="71"/>
      <c r="AK61" s="71"/>
      <c r="AL61" s="71"/>
      <c r="AM61"/>
      <c r="AN61"/>
      <c r="AO61"/>
      <c r="AP61"/>
      <c r="AQ61"/>
      <c r="AR61"/>
      <c r="AS61"/>
      <c r="AT61"/>
      <c r="AU61"/>
      <c r="AV61"/>
      <c r="AW61"/>
      <c r="AX61"/>
      <c r="AY61"/>
      <c r="AZ61"/>
      <c r="BA61"/>
      <c r="BB61"/>
      <c r="BC61"/>
      <c r="BD61"/>
    </row>
    <row r="62" spans="1:56" ht="51" customHeight="1" x14ac:dyDescent="0.2">
      <c r="A62" s="1"/>
      <c r="B62" s="8" t="s">
        <v>41</v>
      </c>
      <c r="C62" s="414"/>
      <c r="D62" s="438"/>
      <c r="E62" s="364"/>
      <c r="F62" s="359"/>
      <c r="G62" s="366"/>
      <c r="H62" s="358"/>
      <c r="M62" s="71"/>
      <c r="N62" s="71"/>
      <c r="O62" s="71"/>
      <c r="P62" s="71"/>
      <c r="Q62" s="71"/>
      <c r="R62" s="71"/>
      <c r="S62" s="71"/>
      <c r="T62" s="71"/>
      <c r="U62" s="347"/>
      <c r="V62" s="348"/>
      <c r="W62" s="71"/>
      <c r="X62" s="71"/>
      <c r="Y62" s="71"/>
      <c r="Z62" s="71"/>
      <c r="AA62" s="71"/>
      <c r="AB62" s="71"/>
      <c r="AC62" s="71"/>
      <c r="AD62" s="71"/>
      <c r="AE62" s="71"/>
      <c r="AF62" s="71"/>
      <c r="AG62" s="71"/>
      <c r="AH62" s="71"/>
      <c r="AI62" s="71"/>
      <c r="AJ62" s="71"/>
      <c r="AK62" s="71"/>
      <c r="AL62" s="71"/>
      <c r="AM62"/>
      <c r="AN62"/>
      <c r="AO62"/>
      <c r="AP62"/>
      <c r="AQ62"/>
      <c r="AR62"/>
      <c r="AS62"/>
      <c r="AT62"/>
      <c r="AU62"/>
      <c r="AV62"/>
      <c r="AW62"/>
      <c r="AX62"/>
      <c r="AY62"/>
      <c r="AZ62"/>
      <c r="BA62"/>
      <c r="BB62"/>
      <c r="BC62"/>
      <c r="BD62"/>
    </row>
    <row r="63" spans="1:56" ht="11.1" customHeight="1" x14ac:dyDescent="0.2">
      <c r="A63" s="1"/>
      <c r="B63" s="1"/>
      <c r="C63" s="410"/>
      <c r="D63" s="433"/>
      <c r="E63" s="364"/>
      <c r="F63" s="359"/>
      <c r="G63" s="366"/>
      <c r="H63" s="358"/>
      <c r="M63" s="71"/>
      <c r="N63" s="71"/>
      <c r="O63" s="71"/>
      <c r="P63" s="71"/>
      <c r="Q63" s="71"/>
      <c r="R63" s="71"/>
      <c r="S63" s="71"/>
      <c r="T63" s="71"/>
      <c r="U63" s="347"/>
      <c r="V63" s="348"/>
      <c r="W63" s="71"/>
      <c r="X63" s="71"/>
      <c r="Y63" s="71"/>
      <c r="Z63" s="71"/>
      <c r="AA63" s="71"/>
      <c r="AB63" s="71"/>
      <c r="AC63" s="71"/>
      <c r="AD63" s="71"/>
      <c r="AE63" s="71"/>
      <c r="AF63" s="71"/>
      <c r="AG63" s="71"/>
      <c r="AH63" s="71"/>
      <c r="AI63" s="71"/>
      <c r="AJ63" s="71"/>
      <c r="AK63" s="71"/>
      <c r="AL63" s="71"/>
      <c r="AM63"/>
      <c r="AN63"/>
      <c r="AO63"/>
      <c r="AP63"/>
      <c r="AQ63"/>
      <c r="AR63"/>
      <c r="AS63"/>
      <c r="AT63"/>
      <c r="AU63"/>
      <c r="AV63"/>
      <c r="AW63"/>
      <c r="AX63"/>
      <c r="AY63"/>
      <c r="AZ63"/>
      <c r="BA63"/>
      <c r="BB63"/>
      <c r="BC63"/>
      <c r="BD63"/>
    </row>
    <row r="64" spans="1:56" ht="12" customHeight="1" x14ac:dyDescent="0.2">
      <c r="A64" s="6">
        <v>1.8</v>
      </c>
      <c r="B64" s="7" t="s">
        <v>42</v>
      </c>
      <c r="C64" s="413"/>
      <c r="D64" s="436"/>
      <c r="E64" s="364"/>
      <c r="F64" s="359"/>
      <c r="G64" s="367"/>
      <c r="H64" s="368"/>
      <c r="M64" s="71"/>
      <c r="N64" s="71"/>
      <c r="O64" s="71"/>
      <c r="P64" s="71"/>
      <c r="Q64" s="71"/>
      <c r="R64" s="71"/>
      <c r="S64" s="71"/>
      <c r="T64" s="71"/>
      <c r="U64" s="347"/>
      <c r="V64" s="348"/>
      <c r="W64" s="71"/>
      <c r="X64" s="71"/>
      <c r="Y64" s="71"/>
      <c r="Z64" s="71"/>
      <c r="AA64" s="71"/>
      <c r="AB64" s="71"/>
      <c r="AC64" s="71"/>
      <c r="AD64" s="71"/>
      <c r="AE64" s="71"/>
      <c r="AF64" s="71"/>
      <c r="AG64" s="71"/>
      <c r="AH64" s="71"/>
      <c r="AI64" s="71"/>
      <c r="AJ64" s="71"/>
      <c r="AK64" s="71"/>
      <c r="AL64" s="71"/>
      <c r="AM64"/>
      <c r="AN64"/>
      <c r="AO64"/>
      <c r="AP64"/>
      <c r="AQ64"/>
      <c r="AR64"/>
      <c r="AS64"/>
      <c r="AT64"/>
      <c r="AU64"/>
      <c r="AV64"/>
      <c r="AW64"/>
      <c r="AX64"/>
      <c r="AY64"/>
      <c r="AZ64"/>
      <c r="BA64"/>
      <c r="BB64"/>
      <c r="BC64"/>
      <c r="BD64"/>
    </row>
    <row r="65" spans="1:56" ht="39" customHeight="1" x14ac:dyDescent="0.2">
      <c r="A65" s="1"/>
      <c r="B65" s="8" t="s">
        <v>43</v>
      </c>
      <c r="C65" s="414"/>
      <c r="D65" s="438"/>
      <c r="E65" s="73"/>
      <c r="F65" s="74"/>
      <c r="G65" s="75"/>
      <c r="H65" s="370"/>
      <c r="M65" s="71"/>
      <c r="N65" s="71"/>
      <c r="O65" s="71"/>
      <c r="P65" s="71"/>
      <c r="Q65" s="71"/>
      <c r="R65" s="71"/>
      <c r="S65" s="71"/>
      <c r="T65" s="71"/>
      <c r="U65" s="347"/>
      <c r="V65" s="348"/>
      <c r="W65" s="71"/>
      <c r="X65" s="71"/>
      <c r="Y65" s="71"/>
      <c r="Z65" s="71"/>
      <c r="AA65" s="71"/>
      <c r="AB65" s="71"/>
      <c r="AC65" s="71"/>
      <c r="AD65" s="71"/>
      <c r="AE65" s="71"/>
      <c r="AF65" s="71"/>
      <c r="AG65" s="71"/>
      <c r="AH65" s="71"/>
      <c r="AI65" s="71"/>
      <c r="AJ65" s="71"/>
      <c r="AK65" s="71"/>
      <c r="AL65" s="71"/>
      <c r="AM65"/>
      <c r="AN65"/>
      <c r="AO65"/>
      <c r="AP65"/>
      <c r="AQ65"/>
      <c r="AR65"/>
      <c r="AS65"/>
      <c r="AT65"/>
      <c r="AU65"/>
      <c r="AV65"/>
      <c r="AW65"/>
      <c r="AX65"/>
      <c r="AY65"/>
      <c r="AZ65"/>
      <c r="BA65"/>
      <c r="BB65"/>
      <c r="BC65"/>
      <c r="BD65"/>
    </row>
    <row r="66" spans="1:56" ht="11.1" customHeight="1" x14ac:dyDescent="0.2">
      <c r="A66" s="1"/>
      <c r="B66" s="1"/>
      <c r="C66" s="410"/>
      <c r="D66" s="433"/>
      <c r="E66" s="73"/>
      <c r="F66" s="74"/>
      <c r="G66" s="75"/>
      <c r="H66" s="370"/>
      <c r="AM66"/>
      <c r="AN66"/>
      <c r="AO66"/>
      <c r="AP66"/>
      <c r="AQ66"/>
      <c r="AR66"/>
      <c r="AS66"/>
      <c r="AT66"/>
      <c r="AU66"/>
      <c r="AV66"/>
      <c r="AW66"/>
      <c r="AX66"/>
      <c r="AY66"/>
      <c r="AZ66"/>
      <c r="BA66"/>
      <c r="BB66"/>
      <c r="BC66"/>
      <c r="BD66"/>
    </row>
    <row r="67" spans="1:56" ht="165" customHeight="1" x14ac:dyDescent="0.2">
      <c r="A67" s="1"/>
      <c r="B67" s="8" t="s">
        <v>44</v>
      </c>
      <c r="C67" s="423" t="s">
        <v>685</v>
      </c>
      <c r="D67" s="440"/>
      <c r="E67" s="73"/>
      <c r="F67" s="74"/>
      <c r="G67" s="75"/>
      <c r="H67" s="370"/>
      <c r="AM67"/>
      <c r="AN67"/>
      <c r="AO67"/>
      <c r="AP67"/>
      <c r="AQ67"/>
      <c r="AR67"/>
      <c r="AS67"/>
      <c r="AT67"/>
      <c r="AU67"/>
      <c r="AV67"/>
      <c r="AW67"/>
      <c r="AX67"/>
      <c r="AY67"/>
      <c r="AZ67"/>
      <c r="BA67"/>
      <c r="BB67"/>
      <c r="BC67"/>
      <c r="BD67"/>
    </row>
    <row r="68" spans="1:56" ht="11.1" customHeight="1" x14ac:dyDescent="0.2">
      <c r="A68" s="1"/>
      <c r="B68" s="1"/>
      <c r="C68" s="410"/>
      <c r="D68" s="433"/>
      <c r="E68" s="73"/>
      <c r="F68" s="74"/>
      <c r="G68" s="75"/>
      <c r="H68" s="370"/>
      <c r="AM68"/>
      <c r="AN68"/>
      <c r="AO68"/>
      <c r="AP68"/>
      <c r="AQ68"/>
      <c r="AR68"/>
      <c r="AS68"/>
      <c r="AT68"/>
      <c r="AU68"/>
      <c r="AV68"/>
      <c r="AW68"/>
      <c r="AX68"/>
      <c r="AY68"/>
      <c r="AZ68"/>
      <c r="BA68"/>
      <c r="BB68"/>
      <c r="BC68"/>
      <c r="BD68"/>
    </row>
    <row r="69" spans="1:56" ht="145.5" customHeight="1" x14ac:dyDescent="0.2">
      <c r="A69" s="1"/>
      <c r="B69" s="8" t="s">
        <v>45</v>
      </c>
      <c r="C69" s="414"/>
      <c r="D69" s="438"/>
      <c r="E69" s="71"/>
      <c r="F69" s="71"/>
      <c r="G69" s="76"/>
      <c r="H69" s="71"/>
      <c r="AM69"/>
      <c r="AN69"/>
      <c r="AO69"/>
      <c r="AP69"/>
      <c r="AQ69"/>
      <c r="AR69"/>
      <c r="AS69"/>
      <c r="AT69"/>
      <c r="AU69"/>
      <c r="AV69"/>
      <c r="AW69"/>
      <c r="AX69"/>
      <c r="AY69"/>
      <c r="AZ69"/>
      <c r="BA69"/>
      <c r="BB69"/>
      <c r="BC69"/>
      <c r="BD69"/>
    </row>
    <row r="70" spans="1:56" ht="11.1" customHeight="1" x14ac:dyDescent="0.2">
      <c r="A70" s="1"/>
      <c r="B70" s="1"/>
      <c r="C70" s="410"/>
      <c r="D70" s="433"/>
      <c r="E70" s="71"/>
      <c r="F70" s="71"/>
      <c r="G70" s="76"/>
      <c r="H70" s="71"/>
      <c r="AM70"/>
      <c r="AN70"/>
      <c r="AO70"/>
      <c r="AP70"/>
      <c r="AQ70"/>
      <c r="AR70"/>
      <c r="AS70"/>
      <c r="AT70"/>
      <c r="AU70"/>
      <c r="AV70"/>
      <c r="AW70"/>
      <c r="AX70"/>
      <c r="AY70"/>
      <c r="AZ70"/>
      <c r="BA70"/>
      <c r="BB70"/>
      <c r="BC70"/>
      <c r="BD70"/>
    </row>
    <row r="71" spans="1:56" ht="24.95" customHeight="1" x14ac:dyDescent="0.2">
      <c r="A71" s="1"/>
      <c r="B71" s="8" t="s">
        <v>46</v>
      </c>
      <c r="C71" s="414"/>
      <c r="D71" s="438"/>
      <c r="E71" s="73"/>
      <c r="F71" s="74"/>
      <c r="G71" s="75"/>
      <c r="H71" s="370"/>
      <c r="AM71"/>
      <c r="AN71"/>
      <c r="AO71"/>
      <c r="AP71"/>
      <c r="AQ71"/>
      <c r="AR71"/>
      <c r="AS71"/>
      <c r="AT71"/>
      <c r="AU71"/>
      <c r="AV71"/>
      <c r="AW71"/>
      <c r="AX71"/>
      <c r="AY71"/>
      <c r="AZ71"/>
      <c r="BA71"/>
      <c r="BB71"/>
      <c r="BC71"/>
      <c r="BD71"/>
    </row>
    <row r="72" spans="1:56" ht="11.1" customHeight="1" x14ac:dyDescent="0.2">
      <c r="A72" s="1"/>
      <c r="B72" s="1"/>
      <c r="C72" s="410"/>
      <c r="D72" s="433"/>
      <c r="E72" s="73"/>
      <c r="F72" s="74"/>
      <c r="G72" s="75"/>
      <c r="H72" s="370"/>
      <c r="AM72"/>
      <c r="AN72"/>
      <c r="AO72"/>
      <c r="AP72"/>
      <c r="AQ72"/>
      <c r="AR72"/>
      <c r="AS72"/>
      <c r="AT72"/>
      <c r="AU72"/>
      <c r="AV72"/>
      <c r="AW72"/>
      <c r="AX72"/>
      <c r="AY72"/>
      <c r="AZ72"/>
      <c r="BA72"/>
      <c r="BB72"/>
      <c r="BC72"/>
      <c r="BD72"/>
    </row>
    <row r="73" spans="1:56" ht="135" customHeight="1" x14ac:dyDescent="0.2">
      <c r="A73" s="1"/>
      <c r="B73" s="1" t="s">
        <v>47</v>
      </c>
      <c r="C73" s="410"/>
      <c r="D73" s="433"/>
      <c r="E73" s="73"/>
      <c r="F73" s="74"/>
      <c r="G73" s="75"/>
      <c r="H73" s="370"/>
      <c r="AM73"/>
      <c r="AN73"/>
      <c r="AO73"/>
      <c r="AP73"/>
      <c r="AQ73"/>
      <c r="AR73"/>
      <c r="AS73"/>
      <c r="AT73"/>
      <c r="AU73"/>
      <c r="AV73"/>
      <c r="AW73"/>
      <c r="AX73"/>
      <c r="AY73"/>
      <c r="AZ73"/>
      <c r="BA73"/>
      <c r="BB73"/>
      <c r="BC73"/>
      <c r="BD73"/>
    </row>
    <row r="74" spans="1:56" ht="11.1" customHeight="1" x14ac:dyDescent="0.2">
      <c r="A74" s="1"/>
      <c r="B74" s="1"/>
      <c r="C74" s="410"/>
      <c r="D74" s="433"/>
      <c r="E74" s="14"/>
      <c r="F74" s="14"/>
      <c r="G74" s="14"/>
      <c r="H74" s="14"/>
      <c r="AM74"/>
      <c r="AN74"/>
      <c r="AO74"/>
      <c r="AP74"/>
      <c r="AQ74"/>
      <c r="AR74"/>
      <c r="AS74"/>
      <c r="AT74"/>
      <c r="AU74"/>
      <c r="AV74"/>
      <c r="AW74"/>
      <c r="AX74"/>
      <c r="AY74"/>
      <c r="AZ74"/>
      <c r="BA74"/>
      <c r="BB74"/>
      <c r="BC74"/>
      <c r="BD74"/>
    </row>
    <row r="75" spans="1:56" ht="38.1" customHeight="1" x14ac:dyDescent="0.2">
      <c r="A75" s="1"/>
      <c r="B75" s="8" t="s">
        <v>48</v>
      </c>
      <c r="C75" s="414"/>
      <c r="D75" s="438"/>
      <c r="E75" s="14"/>
      <c r="F75" s="14"/>
      <c r="G75" s="14"/>
      <c r="H75" s="14"/>
      <c r="AM75"/>
      <c r="AN75"/>
      <c r="AO75"/>
      <c r="AP75"/>
      <c r="AQ75"/>
      <c r="AR75"/>
      <c r="AS75"/>
      <c r="AT75"/>
      <c r="AU75"/>
      <c r="AV75"/>
      <c r="AW75"/>
      <c r="AX75"/>
      <c r="AY75"/>
      <c r="AZ75"/>
      <c r="BA75"/>
      <c r="BB75"/>
      <c r="BC75"/>
      <c r="BD75"/>
    </row>
    <row r="76" spans="1:56" ht="11.1" customHeight="1" x14ac:dyDescent="0.2">
      <c r="A76" s="1"/>
      <c r="B76" s="1"/>
      <c r="C76" s="410"/>
      <c r="D76" s="433"/>
      <c r="E76" s="14"/>
      <c r="F76" s="14"/>
      <c r="G76" s="14"/>
      <c r="H76" s="14"/>
      <c r="AM76"/>
      <c r="AN76"/>
      <c r="AO76"/>
      <c r="AP76"/>
      <c r="AQ76"/>
      <c r="AR76"/>
      <c r="AS76"/>
      <c r="AT76"/>
      <c r="AU76"/>
      <c r="AV76"/>
      <c r="AW76"/>
      <c r="AX76"/>
      <c r="AY76"/>
      <c r="AZ76"/>
      <c r="BA76"/>
      <c r="BB76"/>
      <c r="BC76"/>
      <c r="BD76"/>
    </row>
    <row r="77" spans="1:56" ht="38.1" customHeight="1" x14ac:dyDescent="0.2">
      <c r="A77" s="1"/>
      <c r="B77" s="8" t="s">
        <v>49</v>
      </c>
      <c r="C77" s="414"/>
      <c r="D77" s="438"/>
      <c r="E77" s="14"/>
      <c r="F77" s="14"/>
      <c r="G77" s="14"/>
      <c r="H77" s="14"/>
      <c r="AM77"/>
      <c r="AN77"/>
      <c r="AO77"/>
      <c r="AP77"/>
      <c r="AQ77"/>
      <c r="AR77"/>
      <c r="AS77"/>
      <c r="AT77"/>
      <c r="AU77"/>
      <c r="AV77"/>
      <c r="AW77"/>
      <c r="AX77"/>
      <c r="AY77"/>
      <c r="AZ77"/>
      <c r="BA77"/>
      <c r="BB77"/>
      <c r="BC77"/>
      <c r="BD77"/>
    </row>
    <row r="78" spans="1:56" ht="11.1" customHeight="1" x14ac:dyDescent="0.2">
      <c r="A78" s="1"/>
      <c r="B78" s="1"/>
      <c r="C78" s="410"/>
      <c r="D78" s="433"/>
      <c r="E78" s="14"/>
      <c r="F78" s="14"/>
      <c r="G78" s="14"/>
      <c r="H78" s="14"/>
      <c r="AM78"/>
      <c r="AN78"/>
      <c r="AO78"/>
      <c r="AP78"/>
      <c r="AQ78"/>
      <c r="AR78"/>
      <c r="AS78"/>
      <c r="AT78"/>
      <c r="AU78"/>
      <c r="AV78"/>
      <c r="AW78"/>
      <c r="AX78"/>
      <c r="AY78"/>
      <c r="AZ78"/>
      <c r="BA78"/>
      <c r="BB78"/>
      <c r="BC78"/>
      <c r="BD78"/>
    </row>
    <row r="79" spans="1:56" ht="65.099999999999994" customHeight="1" x14ac:dyDescent="0.2">
      <c r="A79" s="1"/>
      <c r="B79" s="8" t="s">
        <v>50</v>
      </c>
      <c r="C79" s="414"/>
      <c r="D79" s="438"/>
      <c r="E79" s="14"/>
      <c r="F79" s="14"/>
      <c r="G79" s="14"/>
      <c r="H79" s="14"/>
      <c r="AM79"/>
      <c r="AN79"/>
      <c r="AO79"/>
      <c r="AP79"/>
      <c r="AQ79"/>
      <c r="AR79"/>
      <c r="AS79"/>
      <c r="AT79"/>
      <c r="AU79"/>
      <c r="AV79"/>
      <c r="AW79"/>
      <c r="AX79"/>
      <c r="AY79"/>
      <c r="AZ79"/>
      <c r="BA79"/>
      <c r="BB79"/>
      <c r="BC79"/>
      <c r="BD79"/>
    </row>
    <row r="80" spans="1:56" ht="11.1" customHeight="1" x14ac:dyDescent="0.2">
      <c r="A80" s="1"/>
      <c r="B80" s="1"/>
      <c r="C80" s="410"/>
      <c r="D80" s="433"/>
      <c r="E80" s="77"/>
      <c r="F80" s="77"/>
      <c r="G80" s="77"/>
      <c r="H80" s="77"/>
      <c r="AM80"/>
      <c r="AN80"/>
      <c r="AO80"/>
      <c r="AP80"/>
      <c r="AQ80"/>
      <c r="AR80"/>
      <c r="AS80"/>
      <c r="AT80"/>
      <c r="AU80"/>
      <c r="AV80"/>
      <c r="AW80"/>
      <c r="AX80"/>
      <c r="AY80"/>
      <c r="AZ80"/>
      <c r="BA80"/>
      <c r="BB80"/>
      <c r="BC80"/>
      <c r="BD80"/>
    </row>
    <row r="81" spans="1:56" ht="24.95" customHeight="1" x14ac:dyDescent="0.2">
      <c r="A81" s="1"/>
      <c r="B81" s="8" t="s">
        <v>51</v>
      </c>
      <c r="C81" s="414"/>
      <c r="D81" s="438"/>
      <c r="E81" s="14"/>
      <c r="F81" s="14"/>
      <c r="G81" s="14"/>
      <c r="H81" s="14"/>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row>
    <row r="82" spans="1:56" ht="11.1" customHeight="1" x14ac:dyDescent="0.2">
      <c r="A82" s="1"/>
      <c r="B82" s="1"/>
      <c r="C82" s="410"/>
      <c r="D82" s="433"/>
      <c r="E82" s="14"/>
      <c r="F82" s="14"/>
      <c r="G82" s="14"/>
      <c r="H82" s="77"/>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row>
    <row r="83" spans="1:56" ht="38.1" customHeight="1" x14ac:dyDescent="0.2">
      <c r="A83" s="407" t="s">
        <v>592</v>
      </c>
      <c r="B83" s="407" t="s">
        <v>596</v>
      </c>
      <c r="C83" s="416">
        <v>12500</v>
      </c>
      <c r="D83" s="441"/>
      <c r="E83" s="73"/>
      <c r="F83" s="74"/>
      <c r="G83" s="75"/>
      <c r="H83" s="370"/>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row>
    <row r="84" spans="1:56" ht="11.1" customHeight="1" x14ac:dyDescent="0.2">
      <c r="A84" s="1"/>
      <c r="B84" s="1"/>
      <c r="C84" s="410"/>
      <c r="D84" s="433"/>
      <c r="E84" s="73"/>
      <c r="F84" s="74"/>
      <c r="G84" s="75"/>
      <c r="H84" s="370"/>
      <c r="K84" s="64"/>
      <c r="M84" s="6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row>
    <row r="85" spans="1:56" ht="12" customHeight="1" x14ac:dyDescent="0.2">
      <c r="A85" s="6">
        <v>1.9</v>
      </c>
      <c r="B85" s="7" t="s">
        <v>52</v>
      </c>
      <c r="C85" s="413"/>
      <c r="D85" s="436"/>
      <c r="E85" s="73"/>
      <c r="F85" s="74"/>
      <c r="G85" s="75"/>
      <c r="H85" s="370"/>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row>
    <row r="86" spans="1:56" ht="29.25" customHeight="1" x14ac:dyDescent="0.2">
      <c r="A86" s="1"/>
      <c r="B86" s="8" t="s">
        <v>53</v>
      </c>
      <c r="C86" s="414"/>
      <c r="D86" s="438"/>
      <c r="E86" s="73"/>
      <c r="F86" s="74"/>
      <c r="G86" s="75"/>
      <c r="H86" s="370"/>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row>
    <row r="87" spans="1:56" ht="11.1" customHeight="1" x14ac:dyDescent="0.2">
      <c r="A87" s="1"/>
      <c r="B87" s="1"/>
      <c r="C87" s="410"/>
      <c r="D87" s="433"/>
      <c r="E87" s="371"/>
      <c r="F87" s="78"/>
      <c r="G87" s="372"/>
      <c r="H87" s="358"/>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row>
    <row r="88" spans="1:56" ht="38.25" customHeight="1" x14ac:dyDescent="0.2">
      <c r="A88" s="1"/>
      <c r="B88" s="8" t="s">
        <v>54</v>
      </c>
      <c r="C88" s="414"/>
      <c r="D88" s="438"/>
      <c r="E88" s="373"/>
      <c r="F88" s="78"/>
      <c r="G88" s="372"/>
      <c r="H88" s="35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row>
    <row r="89" spans="1:56" ht="11.1" customHeight="1" x14ac:dyDescent="0.2">
      <c r="A89" s="1"/>
      <c r="B89" s="1"/>
      <c r="C89" s="410"/>
      <c r="D89" s="433"/>
      <c r="E89" s="374"/>
      <c r="F89" s="78"/>
      <c r="G89" s="372"/>
      <c r="H89" s="358"/>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row>
    <row r="90" spans="1:56" ht="12" customHeight="1" x14ac:dyDescent="0.2">
      <c r="A90" s="9">
        <v>1.1000000000000001</v>
      </c>
      <c r="B90" s="7" t="s">
        <v>55</v>
      </c>
      <c r="C90" s="413"/>
      <c r="D90" s="436"/>
      <c r="E90" s="375"/>
      <c r="F90" s="78"/>
      <c r="G90" s="372"/>
      <c r="H90" s="358"/>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row>
    <row r="91" spans="1:56" ht="35.1" customHeight="1" x14ac:dyDescent="0.2">
      <c r="A91" s="1"/>
      <c r="B91" s="1" t="s">
        <v>56</v>
      </c>
      <c r="C91" s="410"/>
      <c r="D91" s="433"/>
      <c r="E91" s="14"/>
      <c r="F91" s="14"/>
      <c r="G91" s="14"/>
      <c r="H91" s="376"/>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row>
    <row r="92" spans="1:56" ht="11.1" customHeight="1" x14ac:dyDescent="0.2">
      <c r="A92" s="1"/>
      <c r="B92" s="1"/>
      <c r="C92" s="410"/>
      <c r="D92" s="433"/>
      <c r="E92" s="80"/>
      <c r="F92" s="80"/>
      <c r="G92" s="81"/>
      <c r="H92" s="79"/>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row>
    <row r="93" spans="1:56" ht="38.1" customHeight="1" x14ac:dyDescent="0.2">
      <c r="A93" s="1"/>
      <c r="B93" s="8" t="s">
        <v>57</v>
      </c>
      <c r="C93" s="414"/>
      <c r="D93" s="438"/>
      <c r="E93" s="80"/>
      <c r="F93" s="80"/>
      <c r="G93" s="81"/>
      <c r="H93" s="82"/>
      <c r="K93" s="8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row>
    <row r="94" spans="1:56" ht="11.1" customHeight="1" x14ac:dyDescent="0.2">
      <c r="A94" s="1"/>
      <c r="B94" s="1"/>
      <c r="C94" s="410"/>
      <c r="D94" s="433"/>
      <c r="E94" s="14"/>
      <c r="F94" s="14"/>
      <c r="G94" s="14"/>
      <c r="H94" s="1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row>
    <row r="95" spans="1:56" ht="12" customHeight="1" x14ac:dyDescent="0.2">
      <c r="A95" s="9">
        <v>1.1100000000000001</v>
      </c>
      <c r="B95" s="7" t="s">
        <v>58</v>
      </c>
      <c r="C95" s="413"/>
      <c r="D95" s="436"/>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row>
    <row r="96" spans="1:56" ht="51" customHeight="1" x14ac:dyDescent="0.2">
      <c r="A96" s="1"/>
      <c r="B96" s="8" t="s">
        <v>59</v>
      </c>
      <c r="C96" s="414"/>
      <c r="D96" s="438"/>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row>
    <row r="97" spans="1:56" ht="11.1" customHeight="1" x14ac:dyDescent="0.2">
      <c r="A97" s="1"/>
      <c r="B97" s="1"/>
      <c r="C97" s="410"/>
      <c r="D97" s="433"/>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row>
    <row r="98" spans="1:56" ht="12" customHeight="1" x14ac:dyDescent="0.2">
      <c r="A98" s="9">
        <v>1.1200000000000001</v>
      </c>
      <c r="B98" s="7" t="s">
        <v>60</v>
      </c>
      <c r="C98" s="413"/>
      <c r="D98" s="436"/>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row>
    <row r="99" spans="1:56" ht="23.1" customHeight="1" x14ac:dyDescent="0.2">
      <c r="A99" s="1"/>
      <c r="B99" s="1" t="s">
        <v>61</v>
      </c>
      <c r="C99" s="410"/>
      <c r="D99" s="433"/>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row>
    <row r="100" spans="1:56" ht="11.1" customHeight="1" x14ac:dyDescent="0.2">
      <c r="A100" s="1"/>
      <c r="B100" s="1"/>
      <c r="C100" s="410"/>
      <c r="D100" s="433"/>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row>
    <row r="101" spans="1:56" ht="12" customHeight="1" x14ac:dyDescent="0.2">
      <c r="A101" s="9">
        <v>1.1299999999999999</v>
      </c>
      <c r="B101" s="7" t="s">
        <v>62</v>
      </c>
      <c r="C101" s="413"/>
      <c r="D101" s="436"/>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row>
    <row r="102" spans="1:56" ht="63" customHeight="1" x14ac:dyDescent="0.2">
      <c r="A102" s="1"/>
      <c r="B102" s="8" t="s">
        <v>63</v>
      </c>
      <c r="C102" s="414"/>
      <c r="D102" s="438"/>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row>
    <row r="103" spans="1:56" ht="11.1" customHeight="1" x14ac:dyDescent="0.2">
      <c r="A103" s="1"/>
      <c r="B103" s="1"/>
      <c r="C103" s="410"/>
      <c r="D103" s="43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row>
    <row r="104" spans="1:56" ht="12" customHeight="1" x14ac:dyDescent="0.2">
      <c r="A104" s="9">
        <v>1.1399999999999999</v>
      </c>
      <c r="B104" s="7" t="s">
        <v>64</v>
      </c>
      <c r="C104" s="413"/>
      <c r="D104" s="436"/>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row>
    <row r="105" spans="1:56" ht="38.1" customHeight="1" x14ac:dyDescent="0.2">
      <c r="A105" s="1"/>
      <c r="B105" s="1" t="s">
        <v>65</v>
      </c>
      <c r="C105" s="410"/>
      <c r="D105" s="433"/>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row>
    <row r="106" spans="1:56" ht="11.1" customHeight="1" x14ac:dyDescent="0.2">
      <c r="A106" s="1"/>
      <c r="B106" s="1"/>
      <c r="C106" s="410"/>
      <c r="D106" s="433"/>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row>
    <row r="107" spans="1:56" ht="12" customHeight="1" x14ac:dyDescent="0.2">
      <c r="A107" s="1"/>
      <c r="B107" s="5" t="s">
        <v>66</v>
      </c>
      <c r="C107" s="412">
        <f>SUM(C83:C106)</f>
        <v>12500</v>
      </c>
      <c r="D107" s="435">
        <f>C107</f>
        <v>12500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row>
    <row r="108" spans="1:56" x14ac:dyDescent="0.2">
      <c r="A108" s="1"/>
      <c r="B108" s="1"/>
      <c r="C108" s="410"/>
      <c r="D108" s="433"/>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row>
    <row r="109" spans="1:56" ht="12" customHeight="1" x14ac:dyDescent="0.2">
      <c r="A109" s="6">
        <v>2</v>
      </c>
      <c r="B109" s="5" t="s">
        <v>67</v>
      </c>
      <c r="C109" s="412"/>
      <c r="D109" s="435"/>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row>
    <row r="110" spans="1:56" ht="11.1" customHeight="1" x14ac:dyDescent="0.2">
      <c r="A110" s="6">
        <v>2.1</v>
      </c>
      <c r="B110" s="7" t="s">
        <v>68</v>
      </c>
      <c r="C110" s="413"/>
      <c r="D110" s="436"/>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row>
    <row r="111" spans="1:56" ht="38.1" customHeight="1" x14ac:dyDescent="0.2">
      <c r="A111" s="1"/>
      <c r="B111" s="8" t="s">
        <v>69</v>
      </c>
      <c r="C111" s="414">
        <v>700</v>
      </c>
      <c r="D111" s="438"/>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row>
    <row r="112" spans="1:56" ht="11.1" customHeight="1" x14ac:dyDescent="0.2">
      <c r="A112" s="1"/>
      <c r="B112" s="1"/>
      <c r="C112" s="410"/>
      <c r="D112" s="433"/>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row>
    <row r="113" spans="1:56" ht="12" customHeight="1" x14ac:dyDescent="0.2">
      <c r="A113" s="1"/>
      <c r="B113" s="419" t="s">
        <v>597</v>
      </c>
      <c r="C113" s="420">
        <v>5000</v>
      </c>
      <c r="D113" s="442"/>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row>
    <row r="114" spans="1:56" ht="11.1" customHeight="1" x14ac:dyDescent="0.2">
      <c r="A114" s="1"/>
      <c r="B114" s="1"/>
      <c r="C114" s="410"/>
      <c r="D114" s="433"/>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row>
    <row r="115" spans="1:56" ht="12" customHeight="1" x14ac:dyDescent="0.2">
      <c r="A115" s="1"/>
      <c r="B115" s="5" t="s">
        <v>66</v>
      </c>
      <c r="C115" s="412">
        <f>SUM(C111:C113)</f>
        <v>5700</v>
      </c>
      <c r="D115" s="435">
        <f>C115</f>
        <v>5700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row>
    <row r="116" spans="1:56" ht="11.1" customHeight="1" x14ac:dyDescent="0.2">
      <c r="A116" s="1"/>
      <c r="B116" s="1"/>
      <c r="C116" s="410"/>
      <c r="D116" s="433"/>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row>
    <row r="117" spans="1:56" ht="12" customHeight="1" x14ac:dyDescent="0.2">
      <c r="A117" s="6">
        <v>3</v>
      </c>
      <c r="B117" s="5" t="s">
        <v>70</v>
      </c>
      <c r="C117" s="412"/>
      <c r="D117" s="435"/>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row>
    <row r="118" spans="1:56" ht="24.95" customHeight="1" x14ac:dyDescent="0.2">
      <c r="A118" s="1"/>
      <c r="B118" s="8" t="s">
        <v>71</v>
      </c>
      <c r="C118" s="414" t="s">
        <v>599</v>
      </c>
      <c r="D118" s="43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row>
    <row r="119" spans="1:56" ht="11.1" customHeight="1" x14ac:dyDescent="0.2">
      <c r="A119" s="1"/>
      <c r="B119" s="1"/>
      <c r="C119" s="410"/>
      <c r="D119" s="433"/>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row>
    <row r="120" spans="1:56" ht="12" customHeight="1" x14ac:dyDescent="0.2">
      <c r="A120" s="1"/>
      <c r="B120" s="8" t="s">
        <v>72</v>
      </c>
      <c r="C120" s="414" t="s">
        <v>599</v>
      </c>
      <c r="D120" s="438"/>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row>
    <row r="121" spans="1:56" ht="11.1" customHeight="1" x14ac:dyDescent="0.2">
      <c r="A121" s="1"/>
      <c r="B121" s="1"/>
      <c r="C121" s="410"/>
      <c r="D121" s="433"/>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row>
    <row r="122" spans="1:56" ht="12" customHeight="1" x14ac:dyDescent="0.2">
      <c r="A122" s="1"/>
      <c r="B122" s="5" t="s">
        <v>66</v>
      </c>
      <c r="C122" s="412">
        <f>SUM(C118:C121)</f>
        <v>0</v>
      </c>
      <c r="D122" s="435"/>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row>
    <row r="123" spans="1:56" ht="11.1" customHeight="1" x14ac:dyDescent="0.2">
      <c r="A123" s="1"/>
      <c r="B123" s="1"/>
      <c r="C123" s="410"/>
      <c r="D123" s="43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row>
    <row r="124" spans="1:56" ht="12" customHeight="1" x14ac:dyDescent="0.2">
      <c r="A124" s="6">
        <v>4</v>
      </c>
      <c r="B124" s="5" t="s">
        <v>73</v>
      </c>
      <c r="C124" s="412"/>
      <c r="D124" s="435"/>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row>
    <row r="125" spans="1:56" ht="12" customHeight="1" x14ac:dyDescent="0.2">
      <c r="A125" s="10">
        <v>4.0999999999999996</v>
      </c>
      <c r="B125" s="7" t="s">
        <v>74</v>
      </c>
      <c r="C125" s="413"/>
      <c r="D125" s="436"/>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row>
    <row r="126" spans="1:56" ht="49.5" customHeight="1" x14ac:dyDescent="0.2">
      <c r="A126" s="1"/>
      <c r="B126" s="8" t="s">
        <v>75</v>
      </c>
      <c r="C126" s="414">
        <f>G126</f>
        <v>4560</v>
      </c>
      <c r="D126" s="438"/>
      <c r="E126">
        <v>80</v>
      </c>
      <c r="F126" s="421" t="s">
        <v>571</v>
      </c>
      <c r="G126">
        <f>J126*K126*L126+1200</f>
        <v>4560</v>
      </c>
      <c r="H126"/>
      <c r="I126" s="422" t="s">
        <v>598</v>
      </c>
      <c r="J126">
        <v>140</v>
      </c>
      <c r="K126">
        <v>6</v>
      </c>
      <c r="L126">
        <v>4</v>
      </c>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row>
    <row r="127" spans="1:56" ht="11.1" customHeight="1" x14ac:dyDescent="0.2">
      <c r="A127" s="1"/>
      <c r="B127" s="1"/>
      <c r="C127" s="410"/>
      <c r="D127" s="433"/>
      <c r="E127"/>
      <c r="F127"/>
      <c r="G127"/>
      <c r="H127"/>
      <c r="I127" s="422"/>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row>
    <row r="128" spans="1:56" ht="24.95" customHeight="1" x14ac:dyDescent="0.2">
      <c r="A128" s="1"/>
      <c r="B128" s="8" t="s">
        <v>76</v>
      </c>
      <c r="C128" s="414">
        <f>G128</f>
        <v>3600</v>
      </c>
      <c r="D128" s="438"/>
      <c r="E128">
        <v>80</v>
      </c>
      <c r="F128" s="421" t="s">
        <v>571</v>
      </c>
      <c r="G128">
        <f>J128*K128*L128+800</f>
        <v>3600</v>
      </c>
      <c r="H128"/>
      <c r="I128" s="422" t="s">
        <v>598</v>
      </c>
      <c r="J128">
        <v>140</v>
      </c>
      <c r="K128">
        <v>5</v>
      </c>
      <c r="L128">
        <v>4</v>
      </c>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row>
    <row r="129" spans="1:56" ht="11.1" customHeight="1" x14ac:dyDescent="0.2">
      <c r="A129" s="1"/>
      <c r="B129" s="1"/>
      <c r="C129" s="410"/>
      <c r="D129" s="433"/>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row>
    <row r="130" spans="1:56" ht="12" customHeight="1" x14ac:dyDescent="0.2">
      <c r="A130" s="1"/>
      <c r="B130" s="8" t="s">
        <v>77</v>
      </c>
      <c r="C130" s="423" t="s">
        <v>599</v>
      </c>
      <c r="D130" s="44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row>
    <row r="131" spans="1:56" ht="11.1" customHeight="1" x14ac:dyDescent="0.2">
      <c r="A131" s="1"/>
      <c r="B131" s="1"/>
      <c r="C131" s="410"/>
      <c r="D131" s="433"/>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row>
    <row r="132" spans="1:56" ht="11.1" customHeight="1" x14ac:dyDescent="0.2">
      <c r="A132" s="1"/>
      <c r="B132" s="1"/>
      <c r="C132" s="410"/>
      <c r="D132" s="433"/>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row>
    <row r="133" spans="1:56" ht="12" customHeight="1" x14ac:dyDescent="0.2">
      <c r="A133" s="10">
        <v>4.2</v>
      </c>
      <c r="B133" s="7" t="s">
        <v>78</v>
      </c>
      <c r="C133" s="413"/>
      <c r="D133" s="436"/>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row>
    <row r="134" spans="1:56" ht="63" customHeight="1" x14ac:dyDescent="0.2">
      <c r="A134" s="1"/>
      <c r="B134" s="8" t="s">
        <v>79</v>
      </c>
      <c r="C134" s="414">
        <f>E134*G134</f>
        <v>3770</v>
      </c>
      <c r="D134" s="438"/>
      <c r="E134">
        <v>26</v>
      </c>
      <c r="F134" s="421" t="s">
        <v>571</v>
      </c>
      <c r="G134">
        <v>145</v>
      </c>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row>
    <row r="135" spans="1:56" ht="11.1" customHeight="1" x14ac:dyDescent="0.2">
      <c r="A135" s="1"/>
      <c r="B135" s="1"/>
      <c r="C135" s="410"/>
      <c r="D135" s="433"/>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row>
    <row r="136" spans="1:56" ht="38.1" customHeight="1" x14ac:dyDescent="0.2">
      <c r="A136" s="1"/>
      <c r="B136" s="8" t="s">
        <v>80</v>
      </c>
      <c r="C136" s="423" t="s">
        <v>599</v>
      </c>
      <c r="D136" s="440"/>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row>
    <row r="137" spans="1:56" ht="11.1" customHeight="1" x14ac:dyDescent="0.2">
      <c r="A137" s="1"/>
      <c r="B137" s="1"/>
      <c r="C137" s="410"/>
      <c r="D137" s="433"/>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row>
    <row r="138" spans="1:56" ht="24.95" customHeight="1" x14ac:dyDescent="0.2">
      <c r="A138" s="1"/>
      <c r="B138" s="8" t="s">
        <v>81</v>
      </c>
      <c r="C138" s="423" t="s">
        <v>599</v>
      </c>
      <c r="D138" s="440"/>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row>
    <row r="139" spans="1:56" ht="11.1" customHeight="1" x14ac:dyDescent="0.2">
      <c r="A139" s="1"/>
      <c r="B139" s="1"/>
      <c r="C139" s="410"/>
      <c r="D139" s="433"/>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row>
    <row r="140" spans="1:56" ht="38.1" customHeight="1" x14ac:dyDescent="0.2">
      <c r="A140" s="1"/>
      <c r="B140" s="8" t="s">
        <v>82</v>
      </c>
      <c r="C140" s="423" t="s">
        <v>599</v>
      </c>
      <c r="D140" s="4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row>
    <row r="141" spans="1:56" ht="11.1" customHeight="1" x14ac:dyDescent="0.2">
      <c r="A141" s="1"/>
      <c r="B141" s="1"/>
      <c r="C141" s="410"/>
      <c r="D141" s="433"/>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row>
    <row r="142" spans="1:56" ht="38.1" customHeight="1" x14ac:dyDescent="0.2">
      <c r="A142" s="1"/>
      <c r="B142" s="8" t="s">
        <v>83</v>
      </c>
      <c r="C142" s="423" t="s">
        <v>599</v>
      </c>
      <c r="D142" s="440"/>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row>
    <row r="143" spans="1:56" ht="11.1" customHeight="1" x14ac:dyDescent="0.2">
      <c r="A143" s="1"/>
      <c r="B143" s="1"/>
      <c r="C143" s="410"/>
      <c r="D143" s="43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row>
    <row r="144" spans="1:56" ht="61.5" customHeight="1" x14ac:dyDescent="0.2">
      <c r="A144" s="1"/>
      <c r="B144" s="8" t="s">
        <v>84</v>
      </c>
      <c r="C144" s="414">
        <f>E144*G144</f>
        <v>2772</v>
      </c>
      <c r="D144" s="438"/>
      <c r="E144">
        <v>21</v>
      </c>
      <c r="F144" s="421" t="s">
        <v>580</v>
      </c>
      <c r="G144">
        <v>132</v>
      </c>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row>
    <row r="145" spans="1:56" ht="11.1" customHeight="1" x14ac:dyDescent="0.2">
      <c r="A145" s="1"/>
      <c r="B145" s="1"/>
      <c r="C145" s="410"/>
      <c r="D145" s="433"/>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row>
    <row r="146" spans="1:56" ht="12" customHeight="1" x14ac:dyDescent="0.2">
      <c r="A146" s="10">
        <v>4.3</v>
      </c>
      <c r="B146" s="7" t="s">
        <v>85</v>
      </c>
      <c r="C146" s="413"/>
      <c r="D146" s="43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row>
    <row r="147" spans="1:56" ht="60.75" customHeight="1" x14ac:dyDescent="0.2">
      <c r="A147" s="1"/>
      <c r="B147" s="8" t="s">
        <v>86</v>
      </c>
      <c r="C147" s="414">
        <f>M147+AM147</f>
        <v>3030</v>
      </c>
      <c r="D147" s="438"/>
      <c r="E147"/>
      <c r="F147"/>
      <c r="G147"/>
      <c r="H147"/>
      <c r="I147" s="27" t="s">
        <v>604</v>
      </c>
      <c r="J147">
        <v>180</v>
      </c>
      <c r="K147">
        <v>2</v>
      </c>
      <c r="L147">
        <v>3</v>
      </c>
      <c r="M147">
        <f>L147*K147*J147</f>
        <v>1080</v>
      </c>
      <c r="N147"/>
      <c r="O147"/>
      <c r="P147"/>
      <c r="Q147"/>
      <c r="R147"/>
      <c r="S147"/>
      <c r="T147"/>
      <c r="U147"/>
      <c r="V147"/>
      <c r="W147"/>
      <c r="X147" s="421" t="s">
        <v>600</v>
      </c>
      <c r="Y147" s="421" t="s">
        <v>576</v>
      </c>
      <c r="Z147">
        <v>40</v>
      </c>
      <c r="AA147">
        <v>40</v>
      </c>
      <c r="AB147" s="421" t="s">
        <v>601</v>
      </c>
      <c r="AC147" s="421" t="s">
        <v>602</v>
      </c>
      <c r="AD147" s="421">
        <v>4</v>
      </c>
      <c r="AE147">
        <v>50</v>
      </c>
      <c r="AF147" s="421" t="s">
        <v>603</v>
      </c>
      <c r="AG147">
        <v>1</v>
      </c>
      <c r="AH147">
        <v>150</v>
      </c>
      <c r="AI147"/>
      <c r="AJ147"/>
      <c r="AK147"/>
      <c r="AL147"/>
      <c r="AM147">
        <f>SUM(Z147*AA147)+(AD147*AE147)+AH147</f>
        <v>1950</v>
      </c>
      <c r="AN147"/>
      <c r="AO147"/>
      <c r="AP147"/>
      <c r="AQ147"/>
      <c r="AR147"/>
      <c r="AS147"/>
      <c r="AT147"/>
      <c r="AU147"/>
      <c r="AV147"/>
      <c r="AW147"/>
      <c r="AX147"/>
      <c r="AY147"/>
      <c r="AZ147"/>
      <c r="BA147"/>
      <c r="BB147"/>
      <c r="BC147"/>
      <c r="BD147"/>
    </row>
    <row r="148" spans="1:56" ht="11.1" customHeight="1" x14ac:dyDescent="0.2">
      <c r="A148" s="1"/>
      <c r="B148" s="1"/>
      <c r="C148" s="410"/>
      <c r="D148" s="433"/>
      <c r="E148"/>
      <c r="F148"/>
      <c r="G148"/>
      <c r="H148"/>
      <c r="I148"/>
      <c r="J148"/>
      <c r="K148"/>
      <c r="L148"/>
      <c r="M148"/>
      <c r="N148"/>
      <c r="O148"/>
      <c r="P148"/>
      <c r="Q148"/>
      <c r="R148"/>
      <c r="S148"/>
      <c r="T148"/>
      <c r="U148"/>
      <c r="V148"/>
      <c r="W148"/>
      <c r="X148" s="421"/>
      <c r="Y148" s="421"/>
      <c r="Z148"/>
      <c r="AA148"/>
      <c r="AB148" s="421"/>
      <c r="AC148" s="421"/>
      <c r="AD148" s="421"/>
      <c r="AE148"/>
      <c r="AF148" s="421"/>
      <c r="AG148"/>
      <c r="AH148"/>
      <c r="AI148"/>
      <c r="AJ148"/>
      <c r="AK148"/>
      <c r="AL148"/>
      <c r="AM148"/>
      <c r="AN148"/>
      <c r="AO148"/>
      <c r="AP148"/>
      <c r="AQ148"/>
      <c r="AR148"/>
      <c r="AS148"/>
      <c r="AT148"/>
      <c r="AU148"/>
      <c r="AV148"/>
      <c r="AW148"/>
      <c r="AX148"/>
      <c r="AY148"/>
      <c r="AZ148"/>
      <c r="BA148"/>
      <c r="BB148"/>
      <c r="BC148"/>
      <c r="BD148"/>
    </row>
    <row r="149" spans="1:56" ht="24.95" customHeight="1" x14ac:dyDescent="0.2">
      <c r="A149" s="1"/>
      <c r="B149" s="8" t="s">
        <v>87</v>
      </c>
      <c r="C149" s="423" t="s">
        <v>599</v>
      </c>
      <c r="D149" s="440"/>
      <c r="E149"/>
      <c r="F149"/>
      <c r="G149"/>
      <c r="H149"/>
      <c r="I149"/>
      <c r="J149"/>
      <c r="K149"/>
      <c r="L149"/>
      <c r="M149"/>
      <c r="N149"/>
      <c r="O149"/>
      <c r="P149"/>
      <c r="Q149"/>
      <c r="R149"/>
      <c r="S149"/>
      <c r="T149"/>
      <c r="U149"/>
      <c r="V149"/>
      <c r="W149"/>
      <c r="X149" s="421"/>
      <c r="Y149" s="421"/>
      <c r="Z149"/>
      <c r="AA149"/>
      <c r="AB149" s="421"/>
      <c r="AC149" s="421"/>
      <c r="AD149" s="421"/>
      <c r="AE149"/>
      <c r="AF149" s="421"/>
      <c r="AG149"/>
      <c r="AH149"/>
      <c r="AI149"/>
      <c r="AJ149"/>
      <c r="AK149"/>
      <c r="AL149"/>
      <c r="AM149"/>
      <c r="AN149"/>
      <c r="AO149"/>
      <c r="AP149"/>
      <c r="AQ149"/>
      <c r="AR149"/>
      <c r="AS149"/>
      <c r="AT149"/>
      <c r="AU149"/>
      <c r="AV149"/>
      <c r="AW149"/>
      <c r="AX149"/>
      <c r="AY149"/>
      <c r="AZ149"/>
      <c r="BA149"/>
      <c r="BB149"/>
      <c r="BC149"/>
      <c r="BD149"/>
    </row>
    <row r="150" spans="1:56" ht="11.1" customHeight="1" x14ac:dyDescent="0.2">
      <c r="A150" s="1"/>
      <c r="B150" s="1"/>
      <c r="C150" s="410"/>
      <c r="D150" s="433"/>
      <c r="E150"/>
      <c r="F150"/>
      <c r="G150"/>
      <c r="H150"/>
      <c r="I150"/>
      <c r="J150"/>
      <c r="K150"/>
      <c r="L150"/>
      <c r="M150"/>
      <c r="N150"/>
      <c r="O150"/>
      <c r="P150"/>
      <c r="Q150"/>
      <c r="R150"/>
      <c r="S150"/>
      <c r="T150"/>
      <c r="U150"/>
      <c r="V150"/>
      <c r="W150"/>
      <c r="X150" s="421"/>
      <c r="Y150" s="421"/>
      <c r="Z150"/>
      <c r="AA150"/>
      <c r="AB150" s="421"/>
      <c r="AC150" s="421"/>
      <c r="AD150" s="421"/>
      <c r="AE150"/>
      <c r="AF150" s="421"/>
      <c r="AG150"/>
      <c r="AH150"/>
      <c r="AI150"/>
      <c r="AJ150"/>
      <c r="AK150"/>
      <c r="AL150"/>
      <c r="AM150"/>
      <c r="AN150"/>
      <c r="AO150"/>
      <c r="AP150"/>
      <c r="AQ150"/>
      <c r="AR150"/>
      <c r="AS150"/>
      <c r="AT150"/>
      <c r="AU150"/>
      <c r="AV150"/>
      <c r="AW150"/>
      <c r="AX150"/>
      <c r="AY150"/>
      <c r="AZ150"/>
      <c r="BA150"/>
      <c r="BB150"/>
      <c r="BC150"/>
      <c r="BD150"/>
    </row>
    <row r="151" spans="1:56" ht="15.75" customHeight="1" x14ac:dyDescent="0.2">
      <c r="A151" s="1"/>
      <c r="B151" s="8" t="s">
        <v>88</v>
      </c>
      <c r="C151" s="423" t="s">
        <v>599</v>
      </c>
      <c r="D151" s="440"/>
      <c r="E151"/>
      <c r="F151"/>
      <c r="G151"/>
      <c r="H151"/>
      <c r="I151"/>
      <c r="J151"/>
      <c r="K151"/>
      <c r="L151"/>
      <c r="M151"/>
      <c r="N151"/>
      <c r="O151"/>
      <c r="P151"/>
      <c r="Q151"/>
      <c r="R151"/>
      <c r="S151"/>
      <c r="T151"/>
      <c r="U151"/>
      <c r="V151"/>
      <c r="W151"/>
      <c r="X151" s="421"/>
      <c r="Y151" s="421"/>
      <c r="Z151"/>
      <c r="AA151"/>
      <c r="AB151" s="421"/>
      <c r="AC151" s="421"/>
      <c r="AD151" s="421"/>
      <c r="AE151"/>
      <c r="AF151" s="421"/>
      <c r="AG151"/>
      <c r="AH151"/>
      <c r="AI151"/>
      <c r="AJ151"/>
      <c r="AK151"/>
      <c r="AL151"/>
      <c r="AM151"/>
      <c r="AN151"/>
      <c r="AO151"/>
      <c r="AP151"/>
      <c r="AQ151"/>
      <c r="AR151"/>
      <c r="AS151"/>
      <c r="AT151"/>
      <c r="AU151"/>
      <c r="AV151"/>
      <c r="AW151"/>
      <c r="AX151"/>
      <c r="AY151"/>
      <c r="AZ151"/>
      <c r="BA151"/>
      <c r="BB151"/>
      <c r="BC151"/>
      <c r="BD151"/>
    </row>
    <row r="152" spans="1:56" ht="11.1" customHeight="1" x14ac:dyDescent="0.2">
      <c r="A152" s="1"/>
      <c r="B152" s="1"/>
      <c r="C152" s="410"/>
      <c r="D152" s="433"/>
      <c r="E152"/>
      <c r="F152"/>
      <c r="G152"/>
      <c r="H152"/>
      <c r="I152"/>
      <c r="J152"/>
      <c r="K152"/>
      <c r="L152"/>
      <c r="M152"/>
      <c r="N152"/>
      <c r="O152"/>
      <c r="P152"/>
      <c r="Q152"/>
      <c r="R152"/>
      <c r="S152"/>
      <c r="T152"/>
      <c r="U152"/>
      <c r="V152"/>
      <c r="W152"/>
      <c r="X152" s="421"/>
      <c r="Y152" s="421"/>
      <c r="Z152"/>
      <c r="AA152"/>
      <c r="AB152" s="421"/>
      <c r="AC152" s="421"/>
      <c r="AD152" s="421"/>
      <c r="AE152"/>
      <c r="AF152" s="421"/>
      <c r="AG152"/>
      <c r="AH152"/>
      <c r="AI152"/>
      <c r="AJ152"/>
      <c r="AK152"/>
      <c r="AL152"/>
      <c r="AM152"/>
      <c r="AN152"/>
      <c r="AO152"/>
      <c r="AP152"/>
      <c r="AQ152"/>
      <c r="AR152"/>
      <c r="AS152"/>
      <c r="AT152"/>
      <c r="AU152"/>
      <c r="AV152"/>
      <c r="AW152"/>
      <c r="AX152"/>
      <c r="AY152"/>
      <c r="AZ152"/>
      <c r="BA152"/>
      <c r="BB152"/>
      <c r="BC152"/>
      <c r="BD152"/>
    </row>
    <row r="153" spans="1:56" ht="12" customHeight="1" x14ac:dyDescent="0.2">
      <c r="A153" s="6">
        <v>4.4000000000000004</v>
      </c>
      <c r="B153" s="7" t="s">
        <v>89</v>
      </c>
      <c r="C153" s="413"/>
      <c r="D153" s="436"/>
      <c r="E153"/>
      <c r="F153"/>
      <c r="G153"/>
      <c r="H153"/>
      <c r="I153"/>
      <c r="J153"/>
      <c r="K153"/>
      <c r="L153"/>
      <c r="M153"/>
      <c r="N153"/>
      <c r="O153"/>
      <c r="P153"/>
      <c r="Q153"/>
      <c r="R153"/>
      <c r="S153"/>
      <c r="T153"/>
      <c r="U153"/>
      <c r="V153"/>
      <c r="W153"/>
      <c r="X153" s="421"/>
      <c r="Y153" s="421"/>
      <c r="Z153"/>
      <c r="AA153"/>
      <c r="AB153" s="421"/>
      <c r="AC153" s="421"/>
      <c r="AD153" s="421"/>
      <c r="AE153"/>
      <c r="AF153" s="421"/>
      <c r="AG153"/>
      <c r="AH153"/>
      <c r="AI153"/>
      <c r="AJ153"/>
      <c r="AK153"/>
      <c r="AL153"/>
      <c r="AM153"/>
      <c r="AN153"/>
      <c r="AO153"/>
      <c r="AP153"/>
      <c r="AQ153"/>
      <c r="AR153"/>
      <c r="AS153"/>
      <c r="AT153"/>
      <c r="AU153"/>
      <c r="AV153"/>
      <c r="AW153"/>
      <c r="AX153"/>
      <c r="AY153"/>
      <c r="AZ153"/>
      <c r="BA153"/>
      <c r="BB153"/>
      <c r="BC153"/>
      <c r="BD153"/>
    </row>
    <row r="154" spans="1:56" ht="51" customHeight="1" x14ac:dyDescent="0.2">
      <c r="A154" s="1"/>
      <c r="B154" s="8" t="s">
        <v>90</v>
      </c>
      <c r="C154" s="414">
        <v>760</v>
      </c>
      <c r="D154" s="438"/>
      <c r="E154"/>
      <c r="F154"/>
      <c r="G154"/>
      <c r="H154"/>
      <c r="I154"/>
      <c r="J154"/>
      <c r="K154"/>
      <c r="L154"/>
      <c r="M154"/>
      <c r="N154"/>
      <c r="O154"/>
      <c r="P154"/>
      <c r="Q154"/>
      <c r="R154"/>
      <c r="S154"/>
      <c r="T154"/>
      <c r="U154"/>
      <c r="V154"/>
      <c r="W154"/>
      <c r="X154" s="421"/>
      <c r="Y154" s="421"/>
      <c r="Z154"/>
      <c r="AA154"/>
      <c r="AB154" s="421"/>
      <c r="AC154" s="421"/>
      <c r="AD154" s="421"/>
      <c r="AE154"/>
      <c r="AF154" s="421"/>
      <c r="AG154"/>
      <c r="AH154"/>
      <c r="AI154"/>
      <c r="AJ154"/>
      <c r="AK154"/>
      <c r="AL154"/>
      <c r="AM154"/>
      <c r="AN154"/>
      <c r="AO154"/>
      <c r="AP154"/>
      <c r="AQ154"/>
      <c r="AR154"/>
      <c r="AS154"/>
      <c r="AT154"/>
      <c r="AU154"/>
      <c r="AV154"/>
      <c r="AW154"/>
      <c r="AX154"/>
      <c r="AY154"/>
      <c r="AZ154"/>
      <c r="BA154"/>
      <c r="BB154"/>
      <c r="BC154"/>
      <c r="BD154"/>
    </row>
    <row r="155" spans="1:56" ht="11.1" customHeight="1" x14ac:dyDescent="0.2">
      <c r="A155" s="1"/>
      <c r="B155" s="1"/>
      <c r="C155" s="410"/>
      <c r="D155" s="433"/>
      <c r="E155"/>
      <c r="F155"/>
      <c r="G155"/>
      <c r="H155"/>
      <c r="I155"/>
      <c r="J155"/>
      <c r="K155"/>
      <c r="L155"/>
      <c r="M155"/>
      <c r="N155"/>
      <c r="O155"/>
      <c r="P155"/>
      <c r="Q155"/>
      <c r="R155"/>
      <c r="S155"/>
      <c r="T155"/>
      <c r="U155"/>
      <c r="V155"/>
      <c r="W155"/>
      <c r="X155" s="421"/>
      <c r="Y155" s="421"/>
      <c r="Z155"/>
      <c r="AA155"/>
      <c r="AB155" s="421"/>
      <c r="AC155" s="421"/>
      <c r="AD155" s="421"/>
      <c r="AE155"/>
      <c r="AF155" s="421"/>
      <c r="AG155"/>
      <c r="AH155"/>
      <c r="AI155"/>
      <c r="AJ155"/>
      <c r="AK155"/>
      <c r="AL155"/>
      <c r="AM155"/>
      <c r="AN155"/>
      <c r="AO155"/>
      <c r="AP155"/>
      <c r="AQ155"/>
      <c r="AR155"/>
      <c r="AS155"/>
      <c r="AT155"/>
      <c r="AU155"/>
      <c r="AV155"/>
      <c r="AW155"/>
      <c r="AX155"/>
      <c r="AY155"/>
      <c r="AZ155"/>
      <c r="BA155"/>
      <c r="BB155"/>
      <c r="BC155"/>
      <c r="BD155"/>
    </row>
    <row r="156" spans="1:56" ht="51" customHeight="1" x14ac:dyDescent="0.2">
      <c r="A156" s="1"/>
      <c r="B156" s="8" t="s">
        <v>91</v>
      </c>
      <c r="C156" s="414">
        <f>M156+AM156</f>
        <v>3420</v>
      </c>
      <c r="D156" s="438"/>
      <c r="E156"/>
      <c r="F156"/>
      <c r="G156"/>
      <c r="H156"/>
      <c r="I156" s="27" t="s">
        <v>604</v>
      </c>
      <c r="J156">
        <v>180</v>
      </c>
      <c r="K156">
        <v>3.5</v>
      </c>
      <c r="L156">
        <v>3</v>
      </c>
      <c r="M156">
        <f>L156*K156*J156</f>
        <v>1890</v>
      </c>
      <c r="N156"/>
      <c r="O156"/>
      <c r="P156"/>
      <c r="Q156"/>
      <c r="R156"/>
      <c r="S156"/>
      <c r="T156"/>
      <c r="U156"/>
      <c r="V156"/>
      <c r="W156"/>
      <c r="X156" s="421" t="s">
        <v>605</v>
      </c>
      <c r="Y156" s="421" t="s">
        <v>576</v>
      </c>
      <c r="Z156">
        <v>30</v>
      </c>
      <c r="AA156">
        <v>40</v>
      </c>
      <c r="AB156" s="421" t="s">
        <v>601</v>
      </c>
      <c r="AC156" s="421" t="s">
        <v>602</v>
      </c>
      <c r="AD156" s="421">
        <v>4</v>
      </c>
      <c r="AE156">
        <v>50</v>
      </c>
      <c r="AF156" s="421" t="s">
        <v>603</v>
      </c>
      <c r="AG156">
        <v>1</v>
      </c>
      <c r="AH156">
        <v>130</v>
      </c>
      <c r="AI156"/>
      <c r="AJ156"/>
      <c r="AK156"/>
      <c r="AL156"/>
      <c r="AM156">
        <f t="shared" ref="AM156" si="0">SUM(Z156*AA156)+(AD156*AE156)+AH156</f>
        <v>1530</v>
      </c>
      <c r="AN156"/>
      <c r="AO156"/>
      <c r="AP156"/>
      <c r="AQ156"/>
      <c r="AR156"/>
      <c r="AS156"/>
      <c r="AT156"/>
      <c r="AU156"/>
      <c r="AV156"/>
      <c r="AW156"/>
      <c r="AX156"/>
      <c r="AY156"/>
      <c r="AZ156"/>
      <c r="BA156"/>
      <c r="BB156"/>
      <c r="BC156"/>
      <c r="BD156"/>
    </row>
    <row r="157" spans="1:56" ht="11.1" customHeight="1" x14ac:dyDescent="0.2">
      <c r="A157" s="1"/>
      <c r="B157" s="1"/>
      <c r="C157" s="410"/>
      <c r="D157" s="433"/>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row>
    <row r="158" spans="1:56" ht="12" customHeight="1" x14ac:dyDescent="0.2">
      <c r="A158" s="10">
        <v>4.5</v>
      </c>
      <c r="B158" s="7" t="s">
        <v>92</v>
      </c>
      <c r="C158" s="413"/>
      <c r="D158" s="436"/>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row>
    <row r="159" spans="1:56" ht="37.5" customHeight="1" x14ac:dyDescent="0.2">
      <c r="A159" s="1"/>
      <c r="B159" s="8" t="s">
        <v>93</v>
      </c>
      <c r="C159" s="414">
        <f>M159+AM159</f>
        <v>4250</v>
      </c>
      <c r="D159" s="438"/>
      <c r="E159"/>
      <c r="F159"/>
      <c r="G159"/>
      <c r="H159"/>
      <c r="I159" s="27" t="s">
        <v>604</v>
      </c>
      <c r="J159">
        <v>180</v>
      </c>
      <c r="K159">
        <v>2.5</v>
      </c>
      <c r="L159">
        <v>3</v>
      </c>
      <c r="M159">
        <f>L159*K159*J159</f>
        <v>1350</v>
      </c>
      <c r="N159"/>
      <c r="O159"/>
      <c r="P159"/>
      <c r="Q159"/>
      <c r="R159"/>
      <c r="S159"/>
      <c r="T159"/>
      <c r="U159"/>
      <c r="V159"/>
      <c r="W159"/>
      <c r="X159" s="421" t="s">
        <v>606</v>
      </c>
      <c r="Y159" s="421" t="s">
        <v>607</v>
      </c>
      <c r="Z159">
        <v>80</v>
      </c>
      <c r="AA159">
        <v>35</v>
      </c>
      <c r="AB159" s="421" t="s">
        <v>608</v>
      </c>
      <c r="AC159"/>
      <c r="AD159">
        <v>100</v>
      </c>
      <c r="AE159"/>
      <c r="AF159"/>
      <c r="AG159"/>
      <c r="AH159"/>
      <c r="AI159"/>
      <c r="AJ159"/>
      <c r="AK159"/>
      <c r="AL159"/>
      <c r="AM159">
        <f>Z159*AA159+AD159</f>
        <v>2900</v>
      </c>
      <c r="AN159"/>
      <c r="AO159"/>
      <c r="AP159"/>
      <c r="AQ159"/>
      <c r="AR159"/>
      <c r="AS159"/>
      <c r="AT159"/>
      <c r="AU159"/>
      <c r="AV159"/>
      <c r="AW159"/>
      <c r="AX159"/>
      <c r="AY159"/>
      <c r="AZ159"/>
      <c r="BA159"/>
      <c r="BB159"/>
      <c r="BC159"/>
      <c r="BD159"/>
    </row>
    <row r="160" spans="1:56" ht="11.1" customHeight="1" x14ac:dyDescent="0.2">
      <c r="A160" s="1"/>
      <c r="B160" s="1"/>
      <c r="C160" s="410"/>
      <c r="D160" s="433"/>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row>
    <row r="161" spans="1:56" ht="25.5" customHeight="1" x14ac:dyDescent="0.2">
      <c r="A161" s="1"/>
      <c r="B161" s="8" t="s">
        <v>94</v>
      </c>
      <c r="C161" s="414">
        <f>M161+AM161</f>
        <v>3420</v>
      </c>
      <c r="D161" s="438"/>
      <c r="E161"/>
      <c r="F161"/>
      <c r="G161"/>
      <c r="H161"/>
      <c r="I161" s="27" t="s">
        <v>604</v>
      </c>
      <c r="J161">
        <v>180</v>
      </c>
      <c r="K161">
        <v>2</v>
      </c>
      <c r="L161">
        <v>3</v>
      </c>
      <c r="M161">
        <f>L161*K161*J161</f>
        <v>1080</v>
      </c>
      <c r="N161"/>
      <c r="O161"/>
      <c r="P161"/>
      <c r="Q161"/>
      <c r="R161"/>
      <c r="S161"/>
      <c r="T161"/>
      <c r="U161"/>
      <c r="V161"/>
      <c r="W161"/>
      <c r="X161" s="422" t="s">
        <v>609</v>
      </c>
      <c r="Y161" s="421" t="s">
        <v>607</v>
      </c>
      <c r="Z161">
        <v>70</v>
      </c>
      <c r="AA161">
        <v>32</v>
      </c>
      <c r="AB161" s="421" t="s">
        <v>603</v>
      </c>
      <c r="AC161"/>
      <c r="AD161">
        <v>100</v>
      </c>
      <c r="AE161"/>
      <c r="AF161"/>
      <c r="AG161"/>
      <c r="AH161"/>
      <c r="AI161"/>
      <c r="AJ161"/>
      <c r="AK161"/>
      <c r="AL161"/>
      <c r="AM161">
        <f>Z161*AA161+AD161</f>
        <v>2340</v>
      </c>
      <c r="AN161"/>
      <c r="AO161"/>
      <c r="AP161"/>
      <c r="AQ161"/>
      <c r="AR161"/>
      <c r="AS161"/>
      <c r="AT161"/>
      <c r="AU161"/>
      <c r="AV161"/>
      <c r="AW161"/>
      <c r="AX161"/>
      <c r="AY161"/>
      <c r="AZ161"/>
      <c r="BA161"/>
      <c r="BB161"/>
      <c r="BC161"/>
      <c r="BD161"/>
    </row>
    <row r="162" spans="1:56" ht="11.1" customHeight="1" x14ac:dyDescent="0.2">
      <c r="A162" s="1"/>
      <c r="B162" s="1"/>
      <c r="C162" s="410"/>
      <c r="D162" s="433"/>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row>
    <row r="163" spans="1:56" ht="11.1" customHeight="1" x14ac:dyDescent="0.2">
      <c r="A163" s="1"/>
      <c r="B163" s="1"/>
      <c r="C163" s="410"/>
      <c r="D163" s="43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row>
    <row r="164" spans="1:56" ht="12" customHeight="1" x14ac:dyDescent="0.2">
      <c r="A164" s="10">
        <v>4.5999999999999996</v>
      </c>
      <c r="B164" s="7" t="s">
        <v>95</v>
      </c>
      <c r="C164" s="413"/>
      <c r="D164" s="436"/>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row>
    <row r="165" spans="1:56" ht="83.25" customHeight="1" x14ac:dyDescent="0.2">
      <c r="A165" s="1"/>
      <c r="B165" s="424" t="s">
        <v>613</v>
      </c>
      <c r="C165" s="414">
        <f>M165+AM165</f>
        <v>1240</v>
      </c>
      <c r="D165" s="438"/>
      <c r="E165"/>
      <c r="F165"/>
      <c r="G165"/>
      <c r="H165"/>
      <c r="I165" s="27" t="s">
        <v>610</v>
      </c>
      <c r="J165">
        <v>180</v>
      </c>
      <c r="K165">
        <v>1.5</v>
      </c>
      <c r="L165">
        <v>2</v>
      </c>
      <c r="M165">
        <f>L165*K165*J165</f>
        <v>540</v>
      </c>
      <c r="N165"/>
      <c r="O165"/>
      <c r="P165"/>
      <c r="Q165"/>
      <c r="R165"/>
      <c r="S165"/>
      <c r="T165"/>
      <c r="U165"/>
      <c r="V165"/>
      <c r="W165"/>
      <c r="X165" s="421" t="s">
        <v>611</v>
      </c>
      <c r="Y165" s="421" t="s">
        <v>612</v>
      </c>
      <c r="Z165">
        <v>3</v>
      </c>
      <c r="AA165">
        <v>150</v>
      </c>
      <c r="AB165" s="421" t="s">
        <v>614</v>
      </c>
      <c r="AC165"/>
      <c r="AD165">
        <v>200</v>
      </c>
      <c r="AE165" s="421" t="s">
        <v>615</v>
      </c>
      <c r="AF165">
        <v>50</v>
      </c>
      <c r="AG165"/>
      <c r="AH165"/>
      <c r="AI165"/>
      <c r="AJ165"/>
      <c r="AK165"/>
      <c r="AL165"/>
      <c r="AM165">
        <f>Z165*AA165+AD165+AF165</f>
        <v>700</v>
      </c>
      <c r="AN165"/>
      <c r="AO165"/>
      <c r="AP165"/>
      <c r="AQ165"/>
      <c r="AR165"/>
      <c r="AS165"/>
      <c r="AT165"/>
      <c r="AU165"/>
      <c r="AV165"/>
      <c r="AW165"/>
      <c r="AX165"/>
      <c r="AY165"/>
      <c r="AZ165"/>
      <c r="BA165"/>
      <c r="BB165"/>
      <c r="BC165"/>
      <c r="BD165"/>
    </row>
    <row r="166" spans="1:56" ht="11.1" customHeight="1" x14ac:dyDescent="0.2">
      <c r="A166" s="1"/>
      <c r="B166" s="1"/>
      <c r="C166" s="410"/>
      <c r="D166" s="433"/>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row>
    <row r="167" spans="1:56" ht="12" customHeight="1" x14ac:dyDescent="0.2">
      <c r="A167" s="10">
        <v>4.7</v>
      </c>
      <c r="B167" s="7" t="s">
        <v>96</v>
      </c>
      <c r="C167" s="413"/>
      <c r="D167" s="436"/>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row>
    <row r="168" spans="1:56" ht="33.950000000000003" customHeight="1" x14ac:dyDescent="0.2">
      <c r="A168" s="1"/>
      <c r="B168" s="1" t="s">
        <v>97</v>
      </c>
      <c r="C168" s="414" t="s">
        <v>599</v>
      </c>
      <c r="D168" s="43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row>
    <row r="169" spans="1:56" ht="11.1" customHeight="1" x14ac:dyDescent="0.2">
      <c r="A169" s="1"/>
      <c r="B169" s="1"/>
      <c r="C169" s="410"/>
      <c r="D169" s="433"/>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row>
    <row r="170" spans="1:56" ht="12" customHeight="1" x14ac:dyDescent="0.2">
      <c r="A170" s="10">
        <v>4.8</v>
      </c>
      <c r="B170" s="7" t="s">
        <v>98</v>
      </c>
      <c r="C170" s="413"/>
      <c r="D170" s="436"/>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row>
    <row r="171" spans="1:56" ht="24.95" customHeight="1" x14ac:dyDescent="0.2">
      <c r="A171" s="1"/>
      <c r="B171" s="8" t="s">
        <v>99</v>
      </c>
      <c r="C171" s="414">
        <f>E171*G171</f>
        <v>640</v>
      </c>
      <c r="D171" s="438"/>
      <c r="E171">
        <v>80</v>
      </c>
      <c r="F171" s="421" t="s">
        <v>571</v>
      </c>
      <c r="G171">
        <v>8</v>
      </c>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row>
    <row r="172" spans="1:56" ht="11.1" customHeight="1" x14ac:dyDescent="0.2">
      <c r="A172" s="1"/>
      <c r="B172" s="1"/>
      <c r="C172" s="410"/>
      <c r="D172" s="433"/>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row>
    <row r="173" spans="1:56" ht="24.95" customHeight="1" x14ac:dyDescent="0.2">
      <c r="A173" s="1"/>
      <c r="B173" s="8" t="s">
        <v>100</v>
      </c>
      <c r="C173" s="423" t="s">
        <v>599</v>
      </c>
      <c r="D173" s="440"/>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row>
    <row r="174" spans="1:56" ht="11.1" customHeight="1" x14ac:dyDescent="0.2">
      <c r="A174" s="1"/>
      <c r="B174" s="1"/>
      <c r="C174" s="410"/>
      <c r="D174" s="433"/>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row>
    <row r="175" spans="1:56" ht="51" customHeight="1" x14ac:dyDescent="0.2">
      <c r="A175" s="1"/>
      <c r="B175" s="8" t="s">
        <v>101</v>
      </c>
      <c r="C175" s="414">
        <f>E175*G175</f>
        <v>9860</v>
      </c>
      <c r="D175" s="438"/>
      <c r="E175">
        <v>85</v>
      </c>
      <c r="F175" s="421" t="s">
        <v>571</v>
      </c>
      <c r="G175">
        <v>116</v>
      </c>
      <c r="H175" s="421" t="s">
        <v>616</v>
      </c>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row>
    <row r="176" spans="1:56" ht="11.1" customHeight="1" x14ac:dyDescent="0.2">
      <c r="A176" s="1"/>
      <c r="B176" s="1"/>
      <c r="C176" s="410"/>
      <c r="D176" s="433"/>
      <c r="E176"/>
      <c r="F176" s="421"/>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row>
    <row r="177" spans="1:56" ht="12" customHeight="1" x14ac:dyDescent="0.2">
      <c r="A177" s="1"/>
      <c r="B177" s="8" t="s">
        <v>102</v>
      </c>
      <c r="C177" s="414">
        <v>810</v>
      </c>
      <c r="D177" s="438"/>
      <c r="E177" s="421" t="s">
        <v>617</v>
      </c>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row>
    <row r="178" spans="1:56" ht="11.1" customHeight="1" x14ac:dyDescent="0.2">
      <c r="A178" s="1"/>
      <c r="B178" s="1"/>
      <c r="C178" s="410"/>
      <c r="D178" s="433"/>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row>
    <row r="179" spans="1:56" ht="75.95" customHeight="1" x14ac:dyDescent="0.2">
      <c r="A179" s="1"/>
      <c r="B179" s="8" t="s">
        <v>103</v>
      </c>
      <c r="C179" s="414">
        <f>E179*G179</f>
        <v>910</v>
      </c>
      <c r="D179" s="438"/>
      <c r="E179">
        <v>35</v>
      </c>
      <c r="F179" s="421" t="s">
        <v>618</v>
      </c>
      <c r="G179">
        <v>26</v>
      </c>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row>
    <row r="180" spans="1:56" ht="11.1" customHeight="1" x14ac:dyDescent="0.2">
      <c r="A180" s="1"/>
      <c r="B180" s="1"/>
      <c r="C180" s="410"/>
      <c r="D180" s="433"/>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row>
    <row r="181" spans="1:56" ht="51" customHeight="1" x14ac:dyDescent="0.2">
      <c r="A181" s="1"/>
      <c r="B181" s="8" t="s">
        <v>104</v>
      </c>
      <c r="C181" s="414">
        <f>E181*G181</f>
        <v>576</v>
      </c>
      <c r="D181" s="438"/>
      <c r="E181">
        <v>32</v>
      </c>
      <c r="F181" s="421" t="s">
        <v>618</v>
      </c>
      <c r="G181">
        <v>18</v>
      </c>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row>
    <row r="182" spans="1:56" ht="11.1" customHeight="1" x14ac:dyDescent="0.2">
      <c r="A182" s="1"/>
      <c r="B182" s="1"/>
      <c r="C182" s="410"/>
      <c r="D182" s="433"/>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row>
    <row r="183" spans="1:56" ht="51" customHeight="1" x14ac:dyDescent="0.2">
      <c r="A183" s="1"/>
      <c r="B183" s="8" t="s">
        <v>105</v>
      </c>
      <c r="C183" s="423" t="s">
        <v>599</v>
      </c>
      <c r="D183" s="440"/>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row>
    <row r="184" spans="1:56" ht="11.1" customHeight="1" x14ac:dyDescent="0.2">
      <c r="A184" s="1"/>
      <c r="B184" s="1"/>
      <c r="C184" s="410"/>
      <c r="D184" s="433"/>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row>
    <row r="185" spans="1:56" ht="12" customHeight="1" x14ac:dyDescent="0.2">
      <c r="A185" s="10">
        <v>4.9000000000000004</v>
      </c>
      <c r="B185" s="7" t="s">
        <v>106</v>
      </c>
      <c r="C185" s="413"/>
      <c r="D185" s="436"/>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row>
    <row r="186" spans="1:56" ht="38.1" customHeight="1" x14ac:dyDescent="0.2">
      <c r="A186" s="1"/>
      <c r="B186" s="8" t="s">
        <v>107</v>
      </c>
      <c r="C186" s="414">
        <v>760</v>
      </c>
      <c r="D186" s="438"/>
      <c r="E186">
        <v>30</v>
      </c>
      <c r="F186" s="421" t="s">
        <v>575</v>
      </c>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row>
    <row r="187" spans="1:56" ht="11.1" customHeight="1" x14ac:dyDescent="0.2">
      <c r="A187" s="1"/>
      <c r="B187" s="1"/>
      <c r="C187" s="410"/>
      <c r="D187" s="433"/>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row>
    <row r="188" spans="1:56" ht="12" customHeight="1" x14ac:dyDescent="0.2">
      <c r="A188" s="11">
        <v>4.0999999999999996</v>
      </c>
      <c r="B188" s="7" t="s">
        <v>108</v>
      </c>
      <c r="C188" s="413"/>
      <c r="D188" s="436"/>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row>
    <row r="189" spans="1:56" ht="51" customHeight="1" x14ac:dyDescent="0.2">
      <c r="A189" s="408" t="s">
        <v>592</v>
      </c>
      <c r="B189" s="419" t="s">
        <v>619</v>
      </c>
      <c r="C189" s="420">
        <v>2500</v>
      </c>
      <c r="D189" s="442"/>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row>
    <row r="190" spans="1:56" ht="11.1" customHeight="1" x14ac:dyDescent="0.2">
      <c r="A190" s="1"/>
      <c r="B190" s="1"/>
      <c r="C190" s="410"/>
      <c r="D190" s="433"/>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row>
    <row r="191" spans="1:56" ht="12" customHeight="1" x14ac:dyDescent="0.2">
      <c r="A191" s="9">
        <v>4.1100000000000003</v>
      </c>
      <c r="B191" s="7" t="s">
        <v>109</v>
      </c>
      <c r="C191" s="413"/>
      <c r="D191" s="436"/>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row>
    <row r="192" spans="1:56" ht="24.95" customHeight="1" x14ac:dyDescent="0.2">
      <c r="A192" s="1"/>
      <c r="B192" s="8" t="s">
        <v>110</v>
      </c>
      <c r="C192" s="414">
        <v>1854</v>
      </c>
      <c r="D192" s="438"/>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row>
    <row r="193" spans="1:56" ht="11.1" customHeight="1" x14ac:dyDescent="0.2">
      <c r="A193" s="1"/>
      <c r="B193" s="1"/>
      <c r="C193" s="410"/>
      <c r="D193" s="43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row>
    <row r="194" spans="1:56" ht="75.95" customHeight="1" x14ac:dyDescent="0.2">
      <c r="A194" s="1"/>
      <c r="B194" s="8" t="s">
        <v>111</v>
      </c>
      <c r="C194" s="414">
        <f>E194*G194</f>
        <v>1120</v>
      </c>
      <c r="D194" s="438"/>
      <c r="E194">
        <v>80</v>
      </c>
      <c r="F194" s="421" t="s">
        <v>571</v>
      </c>
      <c r="G194">
        <v>14</v>
      </c>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row>
    <row r="195" spans="1:56" ht="11.1" customHeight="1" x14ac:dyDescent="0.2">
      <c r="A195" s="1"/>
      <c r="B195" s="1"/>
      <c r="C195" s="410"/>
      <c r="D195" s="433"/>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row>
    <row r="196" spans="1:56" ht="50.1" customHeight="1" x14ac:dyDescent="0.2">
      <c r="A196" s="1"/>
      <c r="B196" s="8" t="s">
        <v>112</v>
      </c>
      <c r="C196" s="423" t="s">
        <v>620</v>
      </c>
      <c r="D196" s="440"/>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row>
    <row r="197" spans="1:56" ht="11.1" customHeight="1" x14ac:dyDescent="0.2">
      <c r="A197" s="1"/>
      <c r="B197" s="1"/>
      <c r="C197" s="410"/>
      <c r="D197" s="433"/>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row>
    <row r="198" spans="1:56" ht="38.1" customHeight="1" x14ac:dyDescent="0.2">
      <c r="A198" s="1"/>
      <c r="B198" s="8" t="s">
        <v>113</v>
      </c>
      <c r="C198" s="423" t="s">
        <v>620</v>
      </c>
      <c r="D198" s="440"/>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row>
    <row r="199" spans="1:56" ht="11.1" customHeight="1" x14ac:dyDescent="0.2">
      <c r="A199" s="1"/>
      <c r="B199" s="1"/>
      <c r="C199" s="410"/>
      <c r="D199" s="433"/>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row>
    <row r="200" spans="1:56" ht="38.1" customHeight="1" x14ac:dyDescent="0.2">
      <c r="A200" s="1"/>
      <c r="B200" s="8" t="s">
        <v>114</v>
      </c>
      <c r="C200" s="423" t="s">
        <v>599</v>
      </c>
      <c r="D200" s="438"/>
      <c r="E200">
        <v>20</v>
      </c>
      <c r="F200" s="421" t="s">
        <v>571</v>
      </c>
      <c r="G200">
        <v>15</v>
      </c>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row>
    <row r="201" spans="1:56" ht="11.1" customHeight="1" x14ac:dyDescent="0.2">
      <c r="A201" s="1"/>
      <c r="B201" s="1"/>
      <c r="C201" s="410"/>
      <c r="D201" s="433"/>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row>
    <row r="202" spans="1:56" ht="38.1" customHeight="1" x14ac:dyDescent="0.2">
      <c r="A202" s="1"/>
      <c r="B202" s="8" t="s">
        <v>115</v>
      </c>
      <c r="C202" s="423" t="s">
        <v>620</v>
      </c>
      <c r="D202" s="440"/>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row>
    <row r="203" spans="1:56" ht="11.1" customHeight="1" x14ac:dyDescent="0.2">
      <c r="A203" s="1"/>
      <c r="B203" s="1"/>
      <c r="C203" s="410"/>
      <c r="D203" s="43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row>
    <row r="204" spans="1:56" ht="89.1" customHeight="1" x14ac:dyDescent="0.2">
      <c r="A204" s="1"/>
      <c r="B204" s="8" t="s">
        <v>116</v>
      </c>
      <c r="C204" s="414">
        <v>1022</v>
      </c>
      <c r="D204" s="438"/>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row>
    <row r="205" spans="1:56" ht="11.1" customHeight="1" x14ac:dyDescent="0.2">
      <c r="A205" s="1"/>
      <c r="B205" s="1"/>
      <c r="C205" s="410"/>
      <c r="D205" s="433"/>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row>
    <row r="206" spans="1:56" ht="38.1" customHeight="1" x14ac:dyDescent="0.2">
      <c r="A206" s="1"/>
      <c r="B206" s="8" t="s">
        <v>117</v>
      </c>
      <c r="C206" s="423" t="s">
        <v>620</v>
      </c>
      <c r="D206" s="440"/>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row>
    <row r="207" spans="1:56" ht="11.1" customHeight="1" x14ac:dyDescent="0.2">
      <c r="A207" s="1"/>
      <c r="B207" s="1"/>
      <c r="C207" s="410"/>
      <c r="D207" s="433"/>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row>
    <row r="208" spans="1:56" ht="24.95" customHeight="1" x14ac:dyDescent="0.2">
      <c r="A208" s="1"/>
      <c r="B208" s="8" t="s">
        <v>100</v>
      </c>
      <c r="C208" s="423" t="s">
        <v>599</v>
      </c>
      <c r="D208" s="440"/>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row>
    <row r="209" spans="1:56" ht="11.1" customHeight="1" x14ac:dyDescent="0.2">
      <c r="A209" s="1"/>
      <c r="B209" s="1"/>
      <c r="C209" s="410"/>
      <c r="D209" s="433"/>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row>
    <row r="210" spans="1:56" ht="63" customHeight="1" x14ac:dyDescent="0.2">
      <c r="A210" s="1"/>
      <c r="B210" s="1" t="s">
        <v>118</v>
      </c>
      <c r="C210" s="423" t="s">
        <v>620</v>
      </c>
      <c r="D210" s="44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row>
    <row r="211" spans="1:56" ht="11.1" customHeight="1" x14ac:dyDescent="0.2">
      <c r="A211" s="1"/>
      <c r="B211" s="1"/>
      <c r="C211" s="410"/>
      <c r="D211" s="433"/>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row>
    <row r="212" spans="1:56" ht="12" customHeight="1" x14ac:dyDescent="0.2">
      <c r="A212" s="11">
        <v>4.12</v>
      </c>
      <c r="B212" s="7" t="s">
        <v>119</v>
      </c>
      <c r="C212" s="413"/>
      <c r="D212" s="436"/>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row>
    <row r="213" spans="1:56" ht="38.1" customHeight="1" x14ac:dyDescent="0.2">
      <c r="A213" s="1"/>
      <c r="B213" s="8" t="s">
        <v>120</v>
      </c>
      <c r="C213" s="423" t="s">
        <v>620</v>
      </c>
      <c r="D213" s="440"/>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row>
    <row r="214" spans="1:56" ht="11.1" customHeight="1" x14ac:dyDescent="0.2">
      <c r="A214" s="1"/>
      <c r="B214" s="1"/>
      <c r="C214" s="410"/>
      <c r="D214" s="433"/>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row>
    <row r="215" spans="1:56" ht="51" customHeight="1" x14ac:dyDescent="0.2">
      <c r="A215" s="1"/>
      <c r="B215" s="8" t="s">
        <v>121</v>
      </c>
      <c r="C215" s="423" t="s">
        <v>620</v>
      </c>
      <c r="D215" s="440"/>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row>
    <row r="216" spans="1:56" ht="11.1" customHeight="1" x14ac:dyDescent="0.2">
      <c r="A216" s="1"/>
      <c r="B216" s="1"/>
      <c r="C216" s="410"/>
      <c r="D216" s="433"/>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row>
    <row r="217" spans="1:56" ht="38.1" customHeight="1" x14ac:dyDescent="0.2">
      <c r="A217" s="1"/>
      <c r="B217" s="8" t="s">
        <v>122</v>
      </c>
      <c r="C217" s="414" t="s">
        <v>599</v>
      </c>
      <c r="D217" s="438"/>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row>
    <row r="218" spans="1:56" ht="11.1" customHeight="1" x14ac:dyDescent="0.2">
      <c r="A218" s="1"/>
      <c r="B218" s="1"/>
      <c r="C218" s="410"/>
      <c r="D218" s="433"/>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row>
    <row r="219" spans="1:56" ht="38.1" customHeight="1" x14ac:dyDescent="0.2">
      <c r="A219" s="1"/>
      <c r="B219" s="8" t="s">
        <v>123</v>
      </c>
      <c r="C219" s="423" t="s">
        <v>620</v>
      </c>
      <c r="D219" s="440"/>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row>
    <row r="220" spans="1:56" ht="11.1" customHeight="1" x14ac:dyDescent="0.2">
      <c r="A220" s="1"/>
      <c r="B220" s="1"/>
      <c r="C220" s="410"/>
      <c r="D220" s="433"/>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row>
    <row r="221" spans="1:56" ht="97.5" customHeight="1" x14ac:dyDescent="0.2">
      <c r="A221" s="1"/>
      <c r="B221" s="8" t="s">
        <v>124</v>
      </c>
      <c r="C221" s="414">
        <v>2690</v>
      </c>
      <c r="D221" s="438"/>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row>
    <row r="222" spans="1:56" ht="11.1" customHeight="1" x14ac:dyDescent="0.2">
      <c r="A222" s="1"/>
      <c r="B222" s="1"/>
      <c r="C222" s="410"/>
      <c r="D222" s="433"/>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row>
    <row r="223" spans="1:56" ht="63" customHeight="1" x14ac:dyDescent="0.2">
      <c r="A223" s="1"/>
      <c r="B223" s="8" t="s">
        <v>125</v>
      </c>
      <c r="C223" s="423" t="s">
        <v>620</v>
      </c>
      <c r="D223" s="440"/>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row>
    <row r="224" spans="1:56" ht="11.1" customHeight="1" x14ac:dyDescent="0.2">
      <c r="A224" s="1"/>
      <c r="B224" s="1"/>
      <c r="C224" s="410"/>
      <c r="D224" s="433"/>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row>
    <row r="225" spans="1:56" ht="12" customHeight="1" x14ac:dyDescent="0.2">
      <c r="A225" s="11">
        <v>4.13</v>
      </c>
      <c r="B225" s="7" t="s">
        <v>126</v>
      </c>
      <c r="C225" s="413"/>
      <c r="D225" s="436"/>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row>
    <row r="226" spans="1:56" ht="38.1" customHeight="1" x14ac:dyDescent="0.2">
      <c r="A226" s="1"/>
      <c r="B226" s="8" t="s">
        <v>127</v>
      </c>
      <c r="C226" s="414" t="s">
        <v>599</v>
      </c>
      <c r="D226" s="438"/>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row>
    <row r="227" spans="1:56" ht="11.1" customHeight="1" x14ac:dyDescent="0.2">
      <c r="A227" s="1"/>
      <c r="B227" s="1"/>
      <c r="C227" s="410"/>
      <c r="D227" s="433"/>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row>
    <row r="228" spans="1:56" ht="12" customHeight="1" x14ac:dyDescent="0.2">
      <c r="A228" s="1"/>
      <c r="B228" s="5" t="s">
        <v>66</v>
      </c>
      <c r="C228" s="412">
        <f>SUM(C126:C227)</f>
        <v>53564</v>
      </c>
      <c r="D228" s="435">
        <f>C228</f>
        <v>53564</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row>
    <row r="229" spans="1:56" ht="11.1" customHeight="1" x14ac:dyDescent="0.2">
      <c r="A229" s="1"/>
      <c r="B229" s="1"/>
      <c r="C229" s="410"/>
      <c r="D229" s="433"/>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row>
    <row r="230" spans="1:56" ht="11.1" customHeight="1" x14ac:dyDescent="0.2">
      <c r="A230" s="6">
        <v>5</v>
      </c>
      <c r="B230" s="7" t="s">
        <v>128</v>
      </c>
      <c r="C230" s="413"/>
      <c r="D230" s="436"/>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row>
    <row r="231" spans="1:56" ht="75.95" customHeight="1" x14ac:dyDescent="0.2">
      <c r="A231" s="1"/>
      <c r="B231" s="8" t="s">
        <v>129</v>
      </c>
      <c r="C231" s="414">
        <f>E231*G231</f>
        <v>707</v>
      </c>
      <c r="D231" s="438"/>
      <c r="E231">
        <v>35</v>
      </c>
      <c r="F231" s="421" t="s">
        <v>575</v>
      </c>
      <c r="G231">
        <v>20.2</v>
      </c>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row>
    <row r="232" spans="1:56" ht="11.1" customHeight="1" x14ac:dyDescent="0.2">
      <c r="A232" s="1"/>
      <c r="B232" s="1"/>
      <c r="C232" s="410"/>
      <c r="D232" s="433"/>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row>
    <row r="233" spans="1:56" ht="75.95" customHeight="1" x14ac:dyDescent="0.2">
      <c r="A233" s="1"/>
      <c r="B233" s="8" t="s">
        <v>130</v>
      </c>
      <c r="C233" s="414">
        <v>374</v>
      </c>
      <c r="D233" s="438"/>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row>
    <row r="234" spans="1:56" ht="11.1" customHeight="1" x14ac:dyDescent="0.2">
      <c r="A234" s="1"/>
      <c r="B234" s="1"/>
      <c r="C234" s="410"/>
      <c r="D234" s="433"/>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row>
    <row r="235" spans="1:56" ht="12" customHeight="1" x14ac:dyDescent="0.2">
      <c r="A235" s="1"/>
      <c r="B235" s="5" t="s">
        <v>66</v>
      </c>
      <c r="C235" s="412">
        <f>SUM(C231:C234)</f>
        <v>1081</v>
      </c>
      <c r="D235" s="435">
        <f>C235</f>
        <v>1081</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row>
    <row r="236" spans="1:56" ht="11.1" customHeight="1" x14ac:dyDescent="0.2">
      <c r="A236" s="1"/>
      <c r="B236" s="1"/>
      <c r="C236" s="410"/>
      <c r="D236" s="433"/>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row>
    <row r="237" spans="1:56" ht="12" customHeight="1" x14ac:dyDescent="0.2">
      <c r="A237" s="6">
        <v>6</v>
      </c>
      <c r="B237" s="7" t="s">
        <v>131</v>
      </c>
      <c r="C237" s="413"/>
      <c r="D237" s="436"/>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row>
    <row r="238" spans="1:56" ht="38.1" customHeight="1" x14ac:dyDescent="0.2">
      <c r="A238" s="408" t="s">
        <v>592</v>
      </c>
      <c r="B238" s="419" t="s">
        <v>621</v>
      </c>
      <c r="C238" s="420">
        <v>2200</v>
      </c>
      <c r="D238" s="442"/>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row>
    <row r="239" spans="1:56" ht="11.1" customHeight="1" x14ac:dyDescent="0.2">
      <c r="A239" s="1"/>
      <c r="B239" s="1"/>
      <c r="C239" s="410"/>
      <c r="D239" s="433"/>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row>
    <row r="240" spans="1:56" ht="24.95" customHeight="1" x14ac:dyDescent="0.2">
      <c r="A240" s="1"/>
      <c r="B240" s="419" t="s">
        <v>623</v>
      </c>
      <c r="C240" s="420" t="s">
        <v>622</v>
      </c>
      <c r="D240" s="442"/>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row>
    <row r="241" spans="1:56" ht="11.1" customHeight="1" x14ac:dyDescent="0.2">
      <c r="A241" s="1"/>
      <c r="B241" s="1"/>
      <c r="C241" s="410"/>
      <c r="D241" s="433"/>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row>
    <row r="242" spans="1:56" ht="63" customHeight="1" x14ac:dyDescent="0.2">
      <c r="A242" s="1"/>
      <c r="B242" s="419" t="s">
        <v>624</v>
      </c>
      <c r="C242" s="420" t="s">
        <v>622</v>
      </c>
      <c r="D242" s="4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row>
    <row r="243" spans="1:56" ht="11.1" customHeight="1" x14ac:dyDescent="0.2">
      <c r="A243" s="1"/>
      <c r="B243" s="1"/>
      <c r="C243" s="410"/>
      <c r="D243" s="43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row>
    <row r="244" spans="1:56" ht="12" customHeight="1" x14ac:dyDescent="0.2">
      <c r="A244" s="1"/>
      <c r="B244" s="5" t="s">
        <v>66</v>
      </c>
      <c r="C244" s="412">
        <f>SUM(C238:C243)</f>
        <v>2200</v>
      </c>
      <c r="D244" s="435">
        <f>C244</f>
        <v>2200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row>
    <row r="245" spans="1:56" ht="11.1" customHeight="1" x14ac:dyDescent="0.2">
      <c r="A245" s="1"/>
      <c r="B245" s="1"/>
      <c r="C245" s="410"/>
      <c r="D245" s="433"/>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row>
    <row r="246" spans="1:56" ht="11.1" customHeight="1" x14ac:dyDescent="0.2">
      <c r="A246" s="1"/>
      <c r="B246" s="5" t="s">
        <v>132</v>
      </c>
      <c r="C246" s="412"/>
      <c r="D246" s="435"/>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row>
    <row r="247" spans="1:56" ht="11.1" customHeight="1" x14ac:dyDescent="0.2">
      <c r="A247" s="1"/>
      <c r="B247" s="5"/>
      <c r="C247" s="412"/>
      <c r="D247" s="435"/>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row>
    <row r="248" spans="1:56" ht="12" customHeight="1" x14ac:dyDescent="0.2">
      <c r="A248" s="6">
        <v>7</v>
      </c>
      <c r="B248" s="5" t="s">
        <v>133</v>
      </c>
      <c r="C248" s="412"/>
      <c r="D248" s="435"/>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row>
    <row r="249" spans="1:56" ht="52.5" customHeight="1" x14ac:dyDescent="0.2">
      <c r="A249" s="1"/>
      <c r="B249" s="8" t="s">
        <v>134</v>
      </c>
      <c r="C249" s="414">
        <f>E249*G249</f>
        <v>720</v>
      </c>
      <c r="D249" s="438"/>
      <c r="E249">
        <v>180</v>
      </c>
      <c r="F249" s="421" t="s">
        <v>625</v>
      </c>
      <c r="G249">
        <v>4</v>
      </c>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row>
    <row r="250" spans="1:56" ht="11.1" customHeight="1" x14ac:dyDescent="0.2">
      <c r="A250" s="1"/>
      <c r="B250" s="1"/>
      <c r="C250" s="410"/>
      <c r="D250" s="433"/>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row>
    <row r="251" spans="1:56" ht="12" customHeight="1" x14ac:dyDescent="0.2">
      <c r="A251" s="1"/>
      <c r="B251" s="5" t="s">
        <v>66</v>
      </c>
      <c r="C251" s="412">
        <f>SUM(C249:C250)</f>
        <v>720</v>
      </c>
      <c r="D251" s="435">
        <f>C251</f>
        <v>720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row>
    <row r="252" spans="1:56" ht="11.1" customHeight="1" x14ac:dyDescent="0.2">
      <c r="A252" s="1"/>
      <c r="B252" s="1"/>
      <c r="C252" s="410"/>
      <c r="D252" s="433"/>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row>
    <row r="253" spans="1:56" ht="12" customHeight="1" x14ac:dyDescent="0.2">
      <c r="A253" s="6">
        <v>8</v>
      </c>
      <c r="B253" s="5" t="s">
        <v>135</v>
      </c>
      <c r="C253" s="412"/>
      <c r="D253" s="435"/>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row>
    <row r="254" spans="1:56" ht="73.5" customHeight="1" x14ac:dyDescent="0.2">
      <c r="A254" s="408" t="s">
        <v>593</v>
      </c>
      <c r="B254" s="8" t="s">
        <v>136</v>
      </c>
      <c r="C254" s="414">
        <f>E254*G254</f>
        <v>650</v>
      </c>
      <c r="D254" s="438"/>
      <c r="E254">
        <v>25</v>
      </c>
      <c r="F254" s="421" t="s">
        <v>625</v>
      </c>
      <c r="G254">
        <v>26</v>
      </c>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row>
    <row r="255" spans="1:56" ht="11.1" customHeight="1" x14ac:dyDescent="0.2">
      <c r="A255" s="408"/>
      <c r="B255" s="1"/>
      <c r="C255" s="410"/>
      <c r="D255" s="433"/>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row>
    <row r="256" spans="1:56" ht="75.95" customHeight="1" x14ac:dyDescent="0.2">
      <c r="A256" s="408" t="s">
        <v>593</v>
      </c>
      <c r="B256" s="8" t="s">
        <v>137</v>
      </c>
      <c r="C256" s="414">
        <f>E256*H256</f>
        <v>1100</v>
      </c>
      <c r="D256" s="438"/>
      <c r="E256">
        <v>50</v>
      </c>
      <c r="F256" s="421" t="s">
        <v>626</v>
      </c>
      <c r="G256"/>
      <c r="H256">
        <v>22</v>
      </c>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row>
    <row r="257" spans="1:56" ht="11.1" customHeight="1" x14ac:dyDescent="0.2">
      <c r="A257" s="408"/>
      <c r="B257" s="1"/>
      <c r="C257" s="410"/>
      <c r="D257" s="433"/>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row>
    <row r="258" spans="1:56" ht="75.95" customHeight="1" x14ac:dyDescent="0.2">
      <c r="A258" s="408" t="s">
        <v>593</v>
      </c>
      <c r="B258" s="419" t="s">
        <v>627</v>
      </c>
      <c r="C258" s="420">
        <v>1050</v>
      </c>
      <c r="D258" s="442"/>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row>
    <row r="259" spans="1:56" ht="11.1" customHeight="1" x14ac:dyDescent="0.2">
      <c r="A259" s="1"/>
      <c r="B259" s="1"/>
      <c r="C259" s="410"/>
      <c r="D259" s="433"/>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row>
    <row r="260" spans="1:56" ht="24.95" customHeight="1" x14ac:dyDescent="0.2">
      <c r="A260" s="1"/>
      <c r="B260" s="419" t="s">
        <v>628</v>
      </c>
      <c r="C260" s="420">
        <v>500</v>
      </c>
      <c r="D260" s="442"/>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row>
    <row r="261" spans="1:56" ht="11.1" customHeight="1" x14ac:dyDescent="0.2">
      <c r="A261" s="1"/>
      <c r="B261" s="1"/>
      <c r="C261" s="410"/>
      <c r="D261" s="433"/>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row>
    <row r="262" spans="1:56" ht="12" customHeight="1" x14ac:dyDescent="0.2">
      <c r="A262" s="1"/>
      <c r="B262" s="5" t="s">
        <v>66</v>
      </c>
      <c r="C262" s="412">
        <f>SUM(C254:C260)</f>
        <v>3300</v>
      </c>
      <c r="D262" s="435">
        <f>C262</f>
        <v>3300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row>
    <row r="263" spans="1:56" ht="11.1" customHeight="1" x14ac:dyDescent="0.2">
      <c r="A263" s="1"/>
      <c r="B263" s="1"/>
      <c r="C263" s="410"/>
      <c r="D263" s="43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row>
    <row r="264" spans="1:56" ht="12" customHeight="1" x14ac:dyDescent="0.2">
      <c r="A264" s="6">
        <v>9</v>
      </c>
      <c r="B264" s="5" t="s">
        <v>138</v>
      </c>
      <c r="C264" s="412"/>
      <c r="D264" s="435"/>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row>
    <row r="265" spans="1:56" ht="24.95" customHeight="1" x14ac:dyDescent="0.2">
      <c r="A265" s="1"/>
      <c r="B265" s="419" t="s">
        <v>629</v>
      </c>
      <c r="C265" s="420">
        <v>2000</v>
      </c>
      <c r="D265" s="442"/>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row>
    <row r="266" spans="1:56" ht="11.1" customHeight="1" x14ac:dyDescent="0.2">
      <c r="A266" s="1"/>
      <c r="B266" s="1"/>
      <c r="C266" s="410"/>
      <c r="D266" s="433"/>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row>
    <row r="267" spans="1:56" ht="12" customHeight="1" x14ac:dyDescent="0.2">
      <c r="A267" s="1"/>
      <c r="B267" s="5" t="s">
        <v>66</v>
      </c>
      <c r="C267" s="412">
        <f>C265</f>
        <v>2000</v>
      </c>
      <c r="D267" s="435">
        <f>C267</f>
        <v>2000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row>
    <row r="268" spans="1:56" ht="11.1" customHeight="1" x14ac:dyDescent="0.2">
      <c r="A268" s="1"/>
      <c r="B268" s="1"/>
      <c r="C268" s="410"/>
      <c r="D268" s="433"/>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row>
    <row r="269" spans="1:56" ht="11.1" customHeight="1" x14ac:dyDescent="0.2">
      <c r="A269" s="1"/>
      <c r="B269" s="1"/>
      <c r="C269" s="410"/>
      <c r="D269" s="433"/>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row>
    <row r="270" spans="1:56" ht="12" customHeight="1" x14ac:dyDescent="0.2">
      <c r="A270" s="6">
        <v>10</v>
      </c>
      <c r="B270" s="5" t="s">
        <v>139</v>
      </c>
      <c r="C270" s="412"/>
      <c r="D270" s="435"/>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row>
    <row r="271" spans="1:56" ht="38.1" customHeight="1" x14ac:dyDescent="0.2">
      <c r="A271" s="1"/>
      <c r="B271" s="8" t="s">
        <v>140</v>
      </c>
      <c r="C271" s="423" t="s">
        <v>631</v>
      </c>
      <c r="D271" s="440"/>
      <c r="E271">
        <v>9</v>
      </c>
      <c r="F271" s="421" t="s">
        <v>630</v>
      </c>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row>
    <row r="272" spans="1:56" ht="11.1" customHeight="1" x14ac:dyDescent="0.2">
      <c r="A272" s="1"/>
      <c r="B272" s="1"/>
      <c r="C272" s="410"/>
      <c r="D272" s="433"/>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row>
    <row r="273" spans="1:56" ht="121.5" customHeight="1" x14ac:dyDescent="0.2">
      <c r="A273" s="1"/>
      <c r="B273" s="8" t="s">
        <v>141</v>
      </c>
      <c r="C273" s="414">
        <v>17544</v>
      </c>
      <c r="D273" s="438"/>
      <c r="E273">
        <v>9</v>
      </c>
      <c r="F273" s="421" t="s">
        <v>630</v>
      </c>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row>
    <row r="274" spans="1:56" ht="11.1" customHeight="1" x14ac:dyDescent="0.2">
      <c r="A274" s="1"/>
      <c r="B274" s="1"/>
      <c r="C274" s="410"/>
      <c r="D274" s="433"/>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row>
    <row r="275" spans="1:56" ht="24.95" customHeight="1" x14ac:dyDescent="0.2">
      <c r="A275" s="1"/>
      <c r="B275" s="8" t="s">
        <v>142</v>
      </c>
      <c r="C275" s="423" t="s">
        <v>599</v>
      </c>
      <c r="D275" s="440"/>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row>
    <row r="276" spans="1:56" ht="11.1" customHeight="1" x14ac:dyDescent="0.2">
      <c r="A276" s="1"/>
      <c r="B276" s="1"/>
      <c r="C276" s="410"/>
      <c r="D276" s="433"/>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row>
    <row r="277" spans="1:56" ht="24.95" customHeight="1" x14ac:dyDescent="0.2">
      <c r="A277" s="1"/>
      <c r="B277" s="8" t="s">
        <v>143</v>
      </c>
      <c r="C277" s="423" t="s">
        <v>599</v>
      </c>
      <c r="D277" s="440"/>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row>
    <row r="278" spans="1:56" ht="11.1" customHeight="1" x14ac:dyDescent="0.2">
      <c r="A278" s="1"/>
      <c r="B278" s="1"/>
      <c r="C278" s="410"/>
      <c r="D278" s="433"/>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row>
    <row r="279" spans="1:56" ht="75.95" customHeight="1" x14ac:dyDescent="0.2">
      <c r="A279" s="1"/>
      <c r="B279" s="1" t="s">
        <v>144</v>
      </c>
      <c r="C279" s="423" t="s">
        <v>599</v>
      </c>
      <c r="D279" s="440"/>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row>
    <row r="280" spans="1:56" ht="11.1" customHeight="1" x14ac:dyDescent="0.2">
      <c r="A280" s="1"/>
      <c r="B280" s="1"/>
      <c r="C280" s="410"/>
      <c r="D280" s="433"/>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row>
    <row r="281" spans="1:56" ht="24.95" customHeight="1" x14ac:dyDescent="0.2">
      <c r="A281" s="1"/>
      <c r="B281" s="8" t="s">
        <v>145</v>
      </c>
      <c r="C281" s="423" t="s">
        <v>599</v>
      </c>
      <c r="D281" s="440"/>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row>
    <row r="282" spans="1:56" ht="11.1" customHeight="1" x14ac:dyDescent="0.2">
      <c r="A282" s="1"/>
      <c r="B282" s="1"/>
      <c r="C282" s="410"/>
      <c r="D282" s="433"/>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row>
    <row r="283" spans="1:56" ht="38.1" customHeight="1" x14ac:dyDescent="0.2">
      <c r="A283" s="1"/>
      <c r="B283" s="8" t="s">
        <v>146</v>
      </c>
      <c r="C283" s="423" t="s">
        <v>599</v>
      </c>
      <c r="D283" s="438"/>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row>
    <row r="284" spans="1:56" ht="11.1" customHeight="1" x14ac:dyDescent="0.2">
      <c r="A284" s="1"/>
      <c r="B284" s="1"/>
      <c r="C284" s="410"/>
      <c r="D284" s="433"/>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row>
    <row r="285" spans="1:56" ht="12" customHeight="1" x14ac:dyDescent="0.2">
      <c r="A285" s="10">
        <v>10.1</v>
      </c>
      <c r="B285" s="7" t="s">
        <v>147</v>
      </c>
      <c r="C285" s="413"/>
      <c r="D285" s="436"/>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row>
    <row r="286" spans="1:56" ht="38.1" customHeight="1" x14ac:dyDescent="0.2">
      <c r="A286" s="1"/>
      <c r="B286" s="8" t="s">
        <v>148</v>
      </c>
      <c r="C286" s="414">
        <v>590</v>
      </c>
      <c r="D286" s="438"/>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row>
    <row r="287" spans="1:56" ht="11.1" customHeight="1" x14ac:dyDescent="0.2">
      <c r="A287" s="1"/>
      <c r="B287" s="1"/>
      <c r="C287" s="410"/>
      <c r="D287" s="433"/>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row>
    <row r="288" spans="1:56" ht="24.95" customHeight="1" x14ac:dyDescent="0.2">
      <c r="A288" s="1"/>
      <c r="B288" s="8" t="s">
        <v>149</v>
      </c>
      <c r="C288" s="414">
        <v>350</v>
      </c>
      <c r="D288" s="438"/>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row>
    <row r="289" spans="1:56" ht="11.1" customHeight="1" x14ac:dyDescent="0.2">
      <c r="A289" s="1"/>
      <c r="B289" s="1"/>
      <c r="C289" s="410"/>
      <c r="D289" s="433"/>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row>
    <row r="290" spans="1:56" ht="12" customHeight="1" x14ac:dyDescent="0.2">
      <c r="A290" s="1"/>
      <c r="B290" s="5" t="s">
        <v>66</v>
      </c>
      <c r="C290" s="412">
        <f>SUM(C273:C289)</f>
        <v>18484</v>
      </c>
      <c r="D290" s="435">
        <f>C290</f>
        <v>18484</v>
      </c>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row>
    <row r="291" spans="1:56" ht="11.1" customHeight="1" x14ac:dyDescent="0.2">
      <c r="A291" s="1"/>
      <c r="B291" s="1"/>
      <c r="C291" s="410"/>
      <c r="D291" s="433"/>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row>
    <row r="292" spans="1:56" ht="12" customHeight="1" x14ac:dyDescent="0.2">
      <c r="A292" s="6">
        <v>11</v>
      </c>
      <c r="B292" s="5" t="s">
        <v>150</v>
      </c>
      <c r="C292" s="412"/>
      <c r="D292" s="435"/>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row>
    <row r="293" spans="1:56" ht="24.95" customHeight="1" x14ac:dyDescent="0.2">
      <c r="A293" s="1"/>
      <c r="B293" s="419" t="s">
        <v>632</v>
      </c>
      <c r="C293" s="420">
        <v>500</v>
      </c>
      <c r="D293" s="442"/>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row>
    <row r="294" spans="1:56" ht="11.1" customHeight="1" x14ac:dyDescent="0.2">
      <c r="A294" s="1"/>
      <c r="B294" s="1"/>
      <c r="C294" s="410"/>
      <c r="D294" s="433"/>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row>
    <row r="295" spans="1:56" ht="12" customHeight="1" x14ac:dyDescent="0.2">
      <c r="A295" s="1"/>
      <c r="B295" s="5" t="s">
        <v>66</v>
      </c>
      <c r="C295" s="412">
        <f>C293</f>
        <v>500</v>
      </c>
      <c r="D295" s="435">
        <f>C295</f>
        <v>500</v>
      </c>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row>
    <row r="296" spans="1:56" ht="11.1" customHeight="1" x14ac:dyDescent="0.2">
      <c r="A296" s="1"/>
      <c r="B296" s="1"/>
      <c r="C296" s="410"/>
      <c r="D296" s="433"/>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row>
    <row r="297" spans="1:56" ht="12" customHeight="1" x14ac:dyDescent="0.2">
      <c r="A297" s="6">
        <v>12</v>
      </c>
      <c r="B297" s="5" t="s">
        <v>151</v>
      </c>
      <c r="C297" s="412"/>
      <c r="D297" s="435"/>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row>
    <row r="298" spans="1:56" ht="24" customHeight="1" x14ac:dyDescent="0.2">
      <c r="A298" s="1"/>
      <c r="B298" s="419" t="s">
        <v>633</v>
      </c>
      <c r="C298" s="420">
        <v>10000</v>
      </c>
      <c r="D298" s="442"/>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row>
    <row r="299" spans="1:56" ht="11.1" customHeight="1" x14ac:dyDescent="0.2">
      <c r="A299" s="1"/>
      <c r="B299" s="1"/>
      <c r="C299" s="410"/>
      <c r="D299" s="433"/>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row>
    <row r="300" spans="1:56" ht="12" customHeight="1" x14ac:dyDescent="0.2">
      <c r="A300" s="10">
        <v>12.1</v>
      </c>
      <c r="B300" s="7" t="s">
        <v>152</v>
      </c>
      <c r="C300" s="413"/>
      <c r="D300" s="436"/>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row>
    <row r="301" spans="1:56" ht="38.1" customHeight="1" x14ac:dyDescent="0.2">
      <c r="A301" s="1"/>
      <c r="B301" s="424" t="s">
        <v>634</v>
      </c>
      <c r="C301" s="414">
        <v>3750</v>
      </c>
      <c r="D301" s="438"/>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row>
    <row r="302" spans="1:56" ht="11.1" customHeight="1" x14ac:dyDescent="0.2">
      <c r="A302" s="1"/>
      <c r="B302" s="1"/>
      <c r="C302" s="410"/>
      <c r="D302" s="433"/>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row>
    <row r="303" spans="1:56" ht="12" customHeight="1" x14ac:dyDescent="0.2">
      <c r="A303" s="1"/>
      <c r="B303" s="5" t="s">
        <v>66</v>
      </c>
      <c r="C303" s="412">
        <f>SUM(C298:C302)</f>
        <v>13750</v>
      </c>
      <c r="D303" s="435">
        <f>C303</f>
        <v>13750</v>
      </c>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row>
    <row r="304" spans="1:56" ht="11.1" customHeight="1" x14ac:dyDescent="0.2">
      <c r="A304" s="1"/>
      <c r="B304" s="1"/>
      <c r="C304" s="410"/>
      <c r="D304" s="433"/>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row>
    <row r="305" spans="1:56" ht="12" customHeight="1" x14ac:dyDescent="0.2">
      <c r="A305" s="6">
        <v>13</v>
      </c>
      <c r="B305" s="5" t="s">
        <v>153</v>
      </c>
      <c r="C305" s="412"/>
      <c r="D305" s="435"/>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row>
    <row r="306" spans="1:56" ht="38.1" customHeight="1" x14ac:dyDescent="0.2">
      <c r="A306" s="1"/>
      <c r="B306" s="8" t="s">
        <v>154</v>
      </c>
      <c r="C306" s="414">
        <v>780</v>
      </c>
      <c r="D306" s="438"/>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row>
    <row r="307" spans="1:56" ht="11.1" customHeight="1" x14ac:dyDescent="0.2">
      <c r="A307" s="1"/>
      <c r="B307" s="1"/>
      <c r="C307" s="410"/>
      <c r="D307" s="433"/>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row>
    <row r="308" spans="1:56" ht="63" customHeight="1" x14ac:dyDescent="0.2">
      <c r="A308" s="1"/>
      <c r="B308" s="8" t="s">
        <v>155</v>
      </c>
      <c r="C308" s="414">
        <v>650</v>
      </c>
      <c r="D308" s="43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row>
    <row r="309" spans="1:56" ht="11.1" customHeight="1" x14ac:dyDescent="0.2">
      <c r="A309" s="1"/>
      <c r="B309" s="1"/>
      <c r="C309" s="410"/>
      <c r="D309" s="433"/>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row>
    <row r="310" spans="1:56" ht="38.1" customHeight="1" x14ac:dyDescent="0.2">
      <c r="A310" s="1"/>
      <c r="B310" s="8" t="s">
        <v>156</v>
      </c>
      <c r="C310" s="414">
        <f>E310*G310</f>
        <v>2030</v>
      </c>
      <c r="D310" s="438"/>
      <c r="E310">
        <v>145</v>
      </c>
      <c r="F310" s="421" t="s">
        <v>571</v>
      </c>
      <c r="G310">
        <v>14</v>
      </c>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row>
    <row r="311" spans="1:56" ht="11.1" customHeight="1" x14ac:dyDescent="0.2">
      <c r="A311" s="1"/>
      <c r="B311" s="1"/>
      <c r="C311" s="410"/>
      <c r="D311" s="433"/>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row>
    <row r="312" spans="1:56" ht="24.95" customHeight="1" x14ac:dyDescent="0.2">
      <c r="A312" s="1"/>
      <c r="B312" s="8" t="s">
        <v>157</v>
      </c>
      <c r="C312" s="414">
        <v>660</v>
      </c>
      <c r="D312" s="438"/>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row>
    <row r="313" spans="1:56" ht="11.1" customHeight="1" x14ac:dyDescent="0.2">
      <c r="A313" s="1"/>
      <c r="B313" s="1"/>
      <c r="C313" s="410"/>
      <c r="D313" s="43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row>
    <row r="314" spans="1:56" ht="12" customHeight="1" x14ac:dyDescent="0.2">
      <c r="A314" s="1"/>
      <c r="B314" s="5" t="s">
        <v>66</v>
      </c>
      <c r="C314" s="412">
        <f>SUM(C306:C313)</f>
        <v>4120</v>
      </c>
      <c r="D314" s="435">
        <f>C314</f>
        <v>4120</v>
      </c>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row>
    <row r="315" spans="1:56" ht="11.1" customHeight="1" x14ac:dyDescent="0.2">
      <c r="A315" s="1"/>
      <c r="B315" s="1"/>
      <c r="C315" s="410"/>
      <c r="D315" s="433"/>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row>
    <row r="316" spans="1:56" ht="12" customHeight="1" x14ac:dyDescent="0.2">
      <c r="A316" s="6">
        <v>14</v>
      </c>
      <c r="B316" s="5" t="s">
        <v>158</v>
      </c>
      <c r="C316" s="412"/>
      <c r="D316" s="435"/>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row>
    <row r="317" spans="1:56" ht="24.95" customHeight="1" x14ac:dyDescent="0.2">
      <c r="A317" s="1"/>
      <c r="B317" s="8" t="s">
        <v>159</v>
      </c>
      <c r="C317" s="423" t="s">
        <v>599</v>
      </c>
      <c r="D317" s="440"/>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row>
    <row r="318" spans="1:56" ht="11.1" customHeight="1" x14ac:dyDescent="0.2">
      <c r="A318" s="1"/>
      <c r="B318" s="1"/>
      <c r="C318" s="410"/>
      <c r="D318" s="433"/>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row>
    <row r="319" spans="1:56" ht="12" customHeight="1" x14ac:dyDescent="0.2">
      <c r="A319" s="1"/>
      <c r="B319" s="5" t="s">
        <v>66</v>
      </c>
      <c r="C319" s="412" t="str">
        <f>C317</f>
        <v>Inc</v>
      </c>
      <c r="D319" s="435" t="str">
        <f>C319</f>
        <v>Inc</v>
      </c>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row>
    <row r="320" spans="1:56" ht="11.1" customHeight="1" x14ac:dyDescent="0.2">
      <c r="A320" s="1"/>
      <c r="B320" s="1"/>
      <c r="C320" s="410"/>
      <c r="D320" s="433"/>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row>
    <row r="321" spans="1:56" ht="12" customHeight="1" x14ac:dyDescent="0.2">
      <c r="A321" s="1"/>
      <c r="B321" s="5" t="s">
        <v>160</v>
      </c>
      <c r="C321" s="412"/>
      <c r="D321" s="435"/>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row>
    <row r="322" spans="1:56" ht="12" customHeight="1" x14ac:dyDescent="0.2">
      <c r="A322" s="6">
        <v>15</v>
      </c>
      <c r="B322" s="5" t="s">
        <v>161</v>
      </c>
      <c r="C322" s="412"/>
      <c r="D322" s="435"/>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row>
    <row r="323" spans="1:56" ht="53.1" customHeight="1" x14ac:dyDescent="0.2">
      <c r="A323" s="1"/>
      <c r="B323" s="8" t="s">
        <v>162</v>
      </c>
      <c r="C323" s="423" t="s">
        <v>599</v>
      </c>
      <c r="D323" s="438"/>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row>
    <row r="324" spans="1:56" ht="11.1" customHeight="1" x14ac:dyDescent="0.2">
      <c r="A324" s="1"/>
      <c r="B324" s="1"/>
      <c r="C324" s="410"/>
      <c r="D324" s="433"/>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row>
    <row r="325" spans="1:56" ht="56.1" customHeight="1" x14ac:dyDescent="0.2">
      <c r="A325" s="1"/>
      <c r="B325" s="8" t="s">
        <v>163</v>
      </c>
      <c r="C325" s="414">
        <v>220</v>
      </c>
      <c r="D325" s="438"/>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row>
    <row r="326" spans="1:56" ht="11.1" customHeight="1" x14ac:dyDescent="0.2">
      <c r="A326" s="1"/>
      <c r="B326" s="1"/>
      <c r="C326" s="410"/>
      <c r="D326" s="433"/>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row>
    <row r="327" spans="1:56" ht="51" customHeight="1" x14ac:dyDescent="0.2">
      <c r="A327" s="1"/>
      <c r="B327" s="8" t="s">
        <v>164</v>
      </c>
      <c r="C327" s="414">
        <v>330</v>
      </c>
      <c r="D327" s="438"/>
      <c r="E327"/>
      <c r="F327"/>
      <c r="G327" t="s">
        <v>635</v>
      </c>
      <c r="H327" t="s">
        <v>636</v>
      </c>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row>
    <row r="328" spans="1:56" ht="11.1" customHeight="1" x14ac:dyDescent="0.2">
      <c r="A328" s="1"/>
      <c r="B328" s="1"/>
      <c r="C328" s="410"/>
      <c r="D328" s="433"/>
      <c r="E328"/>
      <c r="F328"/>
      <c r="G328">
        <v>400</v>
      </c>
      <c r="H328">
        <v>550</v>
      </c>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row>
    <row r="329" spans="1:56" ht="24.95" customHeight="1" x14ac:dyDescent="0.2">
      <c r="A329" s="1"/>
      <c r="B329" s="8" t="s">
        <v>165</v>
      </c>
      <c r="C329" s="414">
        <f>G329+H329</f>
        <v>850</v>
      </c>
      <c r="D329" s="438"/>
      <c r="E329"/>
      <c r="F329"/>
      <c r="G329">
        <v>350</v>
      </c>
      <c r="H329">
        <v>500</v>
      </c>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row>
    <row r="330" spans="1:56" ht="11.1" customHeight="1" x14ac:dyDescent="0.2">
      <c r="A330" s="1"/>
      <c r="B330" s="1"/>
      <c r="C330" s="410"/>
      <c r="D330" s="433"/>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row>
    <row r="331" spans="1:56" ht="24.95" customHeight="1" x14ac:dyDescent="0.2">
      <c r="A331" s="1"/>
      <c r="B331" s="8" t="s">
        <v>166</v>
      </c>
      <c r="C331" s="423" t="s">
        <v>599</v>
      </c>
      <c r="D331" s="438"/>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row>
    <row r="332" spans="1:56" ht="11.1" customHeight="1" x14ac:dyDescent="0.2">
      <c r="A332" s="1"/>
      <c r="B332" s="1"/>
      <c r="C332" s="410"/>
      <c r="D332" s="433"/>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row>
    <row r="333" spans="1:56" ht="38.1" customHeight="1" x14ac:dyDescent="0.2">
      <c r="A333" s="1"/>
      <c r="B333" s="8" t="s">
        <v>167</v>
      </c>
      <c r="C333" s="414">
        <f>G333+H333</f>
        <v>925</v>
      </c>
      <c r="D333" s="438"/>
      <c r="E333"/>
      <c r="F333"/>
      <c r="G333">
        <v>525</v>
      </c>
      <c r="H333">
        <v>400</v>
      </c>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row>
    <row r="334" spans="1:56" ht="11.1" customHeight="1" x14ac:dyDescent="0.2">
      <c r="A334" s="1"/>
      <c r="B334" s="1"/>
      <c r="C334" s="410"/>
      <c r="D334" s="433"/>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row>
    <row r="335" spans="1:56" ht="24.95" customHeight="1" x14ac:dyDescent="0.2">
      <c r="A335" s="1"/>
      <c r="B335" s="8" t="s">
        <v>168</v>
      </c>
      <c r="C335" s="414">
        <v>210</v>
      </c>
      <c r="D335" s="438"/>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row>
    <row r="336" spans="1:56" ht="11.1" customHeight="1" x14ac:dyDescent="0.2">
      <c r="A336" s="1"/>
      <c r="B336" s="1"/>
      <c r="C336" s="410"/>
      <c r="D336" s="433"/>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row>
    <row r="337" spans="1:56" ht="38.1" customHeight="1" x14ac:dyDescent="0.2">
      <c r="A337" s="1"/>
      <c r="B337" s="8" t="s">
        <v>169</v>
      </c>
      <c r="C337" s="423" t="s">
        <v>599</v>
      </c>
      <c r="D337" s="438"/>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row>
    <row r="338" spans="1:56" ht="11.1" customHeight="1" x14ac:dyDescent="0.2">
      <c r="A338" s="1"/>
      <c r="B338" s="1"/>
      <c r="C338" s="410"/>
      <c r="D338" s="433"/>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row>
    <row r="339" spans="1:56" ht="24.95" customHeight="1" x14ac:dyDescent="0.2">
      <c r="A339" s="1"/>
      <c r="B339" s="8" t="s">
        <v>170</v>
      </c>
      <c r="C339" s="414" t="s">
        <v>599</v>
      </c>
      <c r="D339" s="438"/>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row>
    <row r="340" spans="1:56" ht="11.1" customHeight="1" x14ac:dyDescent="0.2">
      <c r="A340" s="1"/>
      <c r="B340" s="1"/>
      <c r="C340" s="410"/>
      <c r="D340" s="433"/>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row>
    <row r="341" spans="1:56" ht="12" customHeight="1" x14ac:dyDescent="0.2">
      <c r="A341" s="1"/>
      <c r="B341" s="8" t="s">
        <v>171</v>
      </c>
      <c r="C341" s="423" t="s">
        <v>599</v>
      </c>
      <c r="D341" s="438"/>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row>
    <row r="342" spans="1:56" ht="11.1" customHeight="1" x14ac:dyDescent="0.2">
      <c r="A342" s="1"/>
      <c r="B342" s="1"/>
      <c r="C342" s="410"/>
      <c r="D342" s="433"/>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row>
    <row r="343" spans="1:56" ht="24.95" customHeight="1" x14ac:dyDescent="0.2">
      <c r="A343" s="1"/>
      <c r="B343" s="8" t="s">
        <v>172</v>
      </c>
      <c r="C343" s="423" t="s">
        <v>599</v>
      </c>
      <c r="D343" s="438"/>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row>
    <row r="344" spans="1:56" ht="11.1" customHeight="1" x14ac:dyDescent="0.2">
      <c r="A344" s="1"/>
      <c r="B344" s="1"/>
      <c r="C344" s="410"/>
      <c r="D344" s="433"/>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row>
    <row r="345" spans="1:56" ht="24.95" customHeight="1" x14ac:dyDescent="0.2">
      <c r="A345" s="1"/>
      <c r="B345" s="8" t="s">
        <v>173</v>
      </c>
      <c r="C345" s="414">
        <v>790</v>
      </c>
      <c r="D345" s="438"/>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row>
    <row r="346" spans="1:56" ht="11.1" customHeight="1" x14ac:dyDescent="0.2">
      <c r="A346" s="1"/>
      <c r="B346" s="1"/>
      <c r="C346" s="410"/>
      <c r="D346" s="433"/>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row>
    <row r="347" spans="1:56" ht="24.95" customHeight="1" x14ac:dyDescent="0.2">
      <c r="A347" s="1"/>
      <c r="B347" s="8" t="s">
        <v>174</v>
      </c>
      <c r="C347" s="414">
        <v>830</v>
      </c>
      <c r="D347" s="438"/>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row>
    <row r="348" spans="1:56" ht="11.1" customHeight="1" x14ac:dyDescent="0.2">
      <c r="A348" s="1"/>
      <c r="B348" s="1"/>
      <c r="C348" s="410"/>
      <c r="D348" s="433"/>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row>
    <row r="349" spans="1:56" ht="50.1" customHeight="1" x14ac:dyDescent="0.2">
      <c r="A349" s="1"/>
      <c r="B349" s="8" t="s">
        <v>175</v>
      </c>
      <c r="C349" s="414">
        <v>2015</v>
      </c>
      <c r="D349" s="438"/>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row>
    <row r="350" spans="1:56" ht="11.1" customHeight="1" x14ac:dyDescent="0.2">
      <c r="A350" s="1"/>
      <c r="B350" s="1"/>
      <c r="C350" s="410"/>
      <c r="D350" s="433"/>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row>
    <row r="351" spans="1:56" ht="24.95" customHeight="1" x14ac:dyDescent="0.2">
      <c r="A351" s="1"/>
      <c r="B351" s="8" t="s">
        <v>176</v>
      </c>
      <c r="C351" s="414" t="s">
        <v>599</v>
      </c>
      <c r="D351" s="438"/>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row>
    <row r="352" spans="1:56" ht="11.1" customHeight="1" x14ac:dyDescent="0.2">
      <c r="A352" s="1"/>
      <c r="B352" s="1"/>
      <c r="C352" s="410"/>
      <c r="D352" s="433"/>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row>
    <row r="353" spans="1:56" ht="12" customHeight="1" x14ac:dyDescent="0.2">
      <c r="A353" s="1"/>
      <c r="B353" s="5" t="s">
        <v>66</v>
      </c>
      <c r="C353" s="412">
        <f>SUM(C322:C352)</f>
        <v>6170</v>
      </c>
      <c r="D353" s="435">
        <f>C353</f>
        <v>6170</v>
      </c>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row>
    <row r="354" spans="1:56" ht="11.1" customHeight="1" x14ac:dyDescent="0.2">
      <c r="A354" s="1"/>
      <c r="B354" s="1"/>
      <c r="C354" s="410"/>
      <c r="D354" s="433"/>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row>
    <row r="355" spans="1:56" ht="12" customHeight="1" x14ac:dyDescent="0.2">
      <c r="A355" s="6">
        <v>16</v>
      </c>
      <c r="B355" s="5" t="s">
        <v>177</v>
      </c>
      <c r="C355" s="412"/>
      <c r="D355" s="43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row>
    <row r="356" spans="1:56" ht="12" customHeight="1" x14ac:dyDescent="0.2">
      <c r="A356" s="6">
        <v>16.100000000000001</v>
      </c>
      <c r="B356" s="7" t="s">
        <v>178</v>
      </c>
      <c r="C356" s="413"/>
      <c r="D356" s="43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row>
    <row r="357" spans="1:56" ht="75.95" customHeight="1" x14ac:dyDescent="0.2">
      <c r="A357" s="1"/>
      <c r="B357" s="8" t="s">
        <v>179</v>
      </c>
      <c r="C357" s="414">
        <v>1470</v>
      </c>
      <c r="D357" s="438"/>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row>
    <row r="358" spans="1:56" ht="11.1" customHeight="1" x14ac:dyDescent="0.2">
      <c r="A358" s="1"/>
      <c r="B358" s="1"/>
      <c r="C358" s="410"/>
      <c r="D358" s="433"/>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row>
    <row r="359" spans="1:56" ht="12" customHeight="1" x14ac:dyDescent="0.2">
      <c r="A359" s="6">
        <v>16.2</v>
      </c>
      <c r="B359" s="7" t="s">
        <v>180</v>
      </c>
      <c r="C359" s="413"/>
      <c r="D359" s="436"/>
      <c r="E359"/>
      <c r="F359"/>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row>
    <row r="360" spans="1:56" ht="63" customHeight="1" x14ac:dyDescent="0.2">
      <c r="A360" s="1"/>
      <c r="B360" s="1" t="s">
        <v>181</v>
      </c>
      <c r="C360" s="414">
        <v>2100</v>
      </c>
      <c r="D360" s="438"/>
      <c r="E360"/>
      <c r="F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row>
    <row r="361" spans="1:56" ht="11.1" customHeight="1" x14ac:dyDescent="0.2">
      <c r="A361" s="1"/>
      <c r="B361" s="1"/>
      <c r="C361" s="410"/>
      <c r="D361" s="433"/>
      <c r="E361"/>
      <c r="F361"/>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row>
    <row r="362" spans="1:56" ht="12" customHeight="1" x14ac:dyDescent="0.2">
      <c r="A362" s="6">
        <v>14.3</v>
      </c>
      <c r="B362" s="7" t="s">
        <v>42</v>
      </c>
      <c r="C362" s="413"/>
      <c r="D362" s="436"/>
      <c r="E362"/>
      <c r="F362"/>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row>
    <row r="363" spans="1:56" ht="24.95" customHeight="1" x14ac:dyDescent="0.2">
      <c r="A363" s="1"/>
      <c r="B363" s="8" t="s">
        <v>182</v>
      </c>
      <c r="C363" s="414">
        <v>590</v>
      </c>
      <c r="D363" s="438"/>
      <c r="E363" t="s">
        <v>639</v>
      </c>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row>
    <row r="364" spans="1:56" ht="11.1" customHeight="1" x14ac:dyDescent="0.2">
      <c r="A364" s="1"/>
      <c r="B364" s="1"/>
      <c r="C364" s="410"/>
      <c r="D364" s="433"/>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row>
    <row r="365" spans="1:56" ht="24.95" customHeight="1" x14ac:dyDescent="0.2">
      <c r="A365" s="1"/>
      <c r="B365" s="8" t="s">
        <v>183</v>
      </c>
      <c r="C365" s="414" t="s">
        <v>599</v>
      </c>
      <c r="D365" s="438"/>
      <c r="E365"/>
      <c r="F365"/>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row>
    <row r="366" spans="1:56" ht="11.1" customHeight="1" x14ac:dyDescent="0.2">
      <c r="A366" s="1"/>
      <c r="B366" s="1"/>
      <c r="C366" s="410"/>
      <c r="D366" s="433"/>
      <c r="E366"/>
      <c r="F366"/>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row>
    <row r="367" spans="1:56" ht="24.95" customHeight="1" x14ac:dyDescent="0.2">
      <c r="A367" s="1"/>
      <c r="B367" s="8" t="s">
        <v>184</v>
      </c>
      <c r="C367" s="414"/>
      <c r="D367" s="438"/>
      <c r="E367"/>
      <c r="F367"/>
      <c r="G367"/>
      <c r="H367"/>
      <c r="I367"/>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row>
    <row r="368" spans="1:56" ht="11.1" customHeight="1" x14ac:dyDescent="0.2">
      <c r="A368" s="1"/>
      <c r="B368" s="1"/>
      <c r="C368" s="410"/>
      <c r="D368" s="433"/>
      <c r="E368"/>
      <c r="F368"/>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row>
    <row r="369" spans="1:56" ht="12" customHeight="1" x14ac:dyDescent="0.2">
      <c r="A369" s="6">
        <v>16.399999999999999</v>
      </c>
      <c r="B369" s="7" t="s">
        <v>185</v>
      </c>
      <c r="C369" s="413"/>
      <c r="D369" s="436"/>
      <c r="E369"/>
      <c r="F369"/>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row>
    <row r="370" spans="1:56" ht="89.1" customHeight="1" x14ac:dyDescent="0.2">
      <c r="A370" s="1"/>
      <c r="B370" s="8" t="s">
        <v>186</v>
      </c>
      <c r="C370" s="414">
        <f>Measure!U37</f>
        <v>14233.762222222222</v>
      </c>
      <c r="D370" s="438"/>
      <c r="E370"/>
      <c r="F370"/>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row>
    <row r="371" spans="1:56" ht="11.1" customHeight="1" x14ac:dyDescent="0.2">
      <c r="A371" s="1"/>
      <c r="B371" s="1"/>
      <c r="C371" s="410"/>
      <c r="D371" s="433"/>
      <c r="E371"/>
      <c r="F371"/>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row>
    <row r="372" spans="1:56" ht="35.1" customHeight="1" x14ac:dyDescent="0.2">
      <c r="A372" s="1"/>
      <c r="B372" s="1" t="s">
        <v>187</v>
      </c>
      <c r="C372" s="8" t="s">
        <v>599</v>
      </c>
      <c r="D372" s="383"/>
      <c r="E372"/>
      <c r="F372"/>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row>
    <row r="373" spans="1:56" ht="11.1" customHeight="1" x14ac:dyDescent="0.2">
      <c r="A373" s="1"/>
      <c r="B373" s="1"/>
      <c r="C373" s="410"/>
      <c r="D373" s="433"/>
      <c r="E373"/>
      <c r="F373"/>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row>
    <row r="374" spans="1:56" ht="51" customHeight="1" x14ac:dyDescent="0.2">
      <c r="A374" s="1"/>
      <c r="B374" s="8" t="s">
        <v>188</v>
      </c>
      <c r="C374" s="414"/>
      <c r="D374" s="438"/>
      <c r="E374"/>
      <c r="F374"/>
      <c r="G374"/>
      <c r="H374"/>
      <c r="I374"/>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row>
    <row r="375" spans="1:56" ht="11.1" customHeight="1" x14ac:dyDescent="0.2">
      <c r="A375" s="1"/>
      <c r="B375" s="1"/>
      <c r="C375" s="410"/>
      <c r="D375" s="433"/>
      <c r="E375"/>
      <c r="F375"/>
      <c r="G375"/>
      <c r="H375"/>
      <c r="I375"/>
      <c r="J375"/>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row>
    <row r="376" spans="1:56" ht="24.95" customHeight="1" x14ac:dyDescent="0.2">
      <c r="A376" s="1"/>
      <c r="B376" s="8" t="s">
        <v>189</v>
      </c>
      <c r="C376" s="414">
        <v>1250</v>
      </c>
      <c r="D376" s="438"/>
      <c r="E376"/>
      <c r="F376"/>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row>
    <row r="377" spans="1:56" ht="11.1" customHeight="1" x14ac:dyDescent="0.2">
      <c r="A377" s="1"/>
      <c r="B377" s="1"/>
      <c r="C377" s="410"/>
      <c r="D377" s="433"/>
      <c r="E377"/>
      <c r="F377"/>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row>
    <row r="378" spans="1:56" ht="12" customHeight="1" x14ac:dyDescent="0.2">
      <c r="A378" s="1"/>
      <c r="B378" s="5" t="s">
        <v>66</v>
      </c>
      <c r="C378" s="412">
        <f>SUM(C357:C377)</f>
        <v>19643.76222222222</v>
      </c>
      <c r="D378" s="435">
        <f>C378</f>
        <v>19643.76222222222</v>
      </c>
      <c r="E378"/>
      <c r="F378"/>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row>
    <row r="379" spans="1:56" ht="11.1" customHeight="1" x14ac:dyDescent="0.2">
      <c r="A379" s="1"/>
      <c r="B379" s="1"/>
      <c r="C379" s="410"/>
      <c r="D379" s="433"/>
      <c r="E379"/>
      <c r="F379"/>
      <c r="G379"/>
      <c r="H379"/>
      <c r="I379"/>
      <c r="J379"/>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row>
    <row r="380" spans="1:56" ht="12" customHeight="1" x14ac:dyDescent="0.2">
      <c r="A380" s="6">
        <v>17</v>
      </c>
      <c r="B380" s="5" t="s">
        <v>190</v>
      </c>
      <c r="C380" s="412"/>
      <c r="D380" s="435"/>
      <c r="E380"/>
      <c r="F380"/>
      <c r="G380"/>
      <c r="H380"/>
      <c r="I380"/>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row>
    <row r="381" spans="1:56" ht="12" customHeight="1" x14ac:dyDescent="0.2">
      <c r="A381" s="6">
        <v>17.100000000000001</v>
      </c>
      <c r="B381" s="7" t="s">
        <v>191</v>
      </c>
      <c r="C381" s="413"/>
      <c r="D381" s="436"/>
      <c r="E381"/>
      <c r="F381"/>
      <c r="G381"/>
      <c r="H381"/>
      <c r="I381"/>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row>
    <row r="382" spans="1:56" ht="24.95" customHeight="1" x14ac:dyDescent="0.2">
      <c r="A382" s="1"/>
      <c r="B382" s="8" t="s">
        <v>192</v>
      </c>
      <c r="C382" s="414">
        <v>2054</v>
      </c>
      <c r="D382" s="438"/>
      <c r="E382"/>
      <c r="F382"/>
      <c r="G382"/>
      <c r="H382"/>
      <c r="I382"/>
      <c r="J38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row>
    <row r="383" spans="1:56" ht="11.1" customHeight="1" x14ac:dyDescent="0.2">
      <c r="A383" s="1"/>
      <c r="B383" s="1"/>
      <c r="C383" s="410"/>
      <c r="D383" s="433"/>
      <c r="E383"/>
      <c r="F383"/>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row>
    <row r="384" spans="1:56" ht="24.95" customHeight="1" x14ac:dyDescent="0.2">
      <c r="A384" s="1"/>
      <c r="B384" s="8" t="s">
        <v>193</v>
      </c>
      <c r="C384" s="414" t="s">
        <v>599</v>
      </c>
      <c r="D384" s="438"/>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row>
    <row r="385" spans="1:56" ht="11.1" customHeight="1" x14ac:dyDescent="0.2">
      <c r="A385" s="1"/>
      <c r="B385" s="1"/>
      <c r="C385" s="410"/>
      <c r="D385" s="433"/>
      <c r="E385"/>
      <c r="F385"/>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row>
    <row r="386" spans="1:56" ht="12" customHeight="1" x14ac:dyDescent="0.2">
      <c r="A386" s="6">
        <v>17.2</v>
      </c>
      <c r="B386" s="7" t="s">
        <v>194</v>
      </c>
      <c r="C386" s="413"/>
      <c r="D386" s="436"/>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row>
    <row r="387" spans="1:56" ht="38.1" customHeight="1" x14ac:dyDescent="0.2">
      <c r="A387" s="1"/>
      <c r="B387" s="8" t="s">
        <v>195</v>
      </c>
      <c r="C387" s="414">
        <v>650</v>
      </c>
      <c r="D387" s="438"/>
      <c r="E387"/>
      <c r="F387"/>
      <c r="G387"/>
      <c r="H387" t="s">
        <v>663</v>
      </c>
      <c r="I387">
        <v>35</v>
      </c>
      <c r="J387">
        <f>35*20</f>
        <v>700</v>
      </c>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row>
    <row r="388" spans="1:56" ht="11.1" customHeight="1" x14ac:dyDescent="0.2">
      <c r="A388" s="1"/>
      <c r="B388" s="1"/>
      <c r="C388" s="410"/>
      <c r="D388" s="433"/>
      <c r="E388"/>
      <c r="F388"/>
      <c r="G388"/>
      <c r="H388"/>
      <c r="I388"/>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row>
    <row r="389" spans="1:56" ht="12" customHeight="1" x14ac:dyDescent="0.2">
      <c r="A389" s="6">
        <v>17.3</v>
      </c>
      <c r="B389" s="7" t="s">
        <v>196</v>
      </c>
      <c r="C389" s="413"/>
      <c r="D389" s="436"/>
      <c r="E389"/>
      <c r="F389"/>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row>
    <row r="390" spans="1:56" ht="36.950000000000003" customHeight="1" x14ac:dyDescent="0.2">
      <c r="A390" s="1"/>
      <c r="B390" s="8" t="s">
        <v>197</v>
      </c>
      <c r="C390" s="414">
        <v>6330</v>
      </c>
      <c r="D390" s="438"/>
      <c r="E390"/>
      <c r="F390"/>
      <c r="G390" t="s">
        <v>666</v>
      </c>
      <c r="H390">
        <f>100*110</f>
        <v>11000</v>
      </c>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row>
    <row r="391" spans="1:56" ht="11.1" customHeight="1" x14ac:dyDescent="0.2">
      <c r="A391" s="1"/>
      <c r="B391" s="1"/>
      <c r="C391" s="410"/>
      <c r="D391" s="433"/>
      <c r="E391"/>
      <c r="F391"/>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row>
    <row r="392" spans="1:56" ht="75" customHeight="1" x14ac:dyDescent="0.2">
      <c r="A392" s="1"/>
      <c r="B392" s="1" t="s">
        <v>198</v>
      </c>
      <c r="C392" s="414">
        <f>H392</f>
        <v>7050</v>
      </c>
      <c r="D392" s="438"/>
      <c r="E392"/>
      <c r="F392"/>
      <c r="G392" t="s">
        <v>665</v>
      </c>
      <c r="H392">
        <f>50*141</f>
        <v>7050</v>
      </c>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row>
    <row r="393" spans="1:56" ht="11.1" customHeight="1" x14ac:dyDescent="0.2">
      <c r="A393" s="1"/>
      <c r="B393" s="1"/>
      <c r="C393" s="410"/>
      <c r="D393" s="433"/>
      <c r="E393"/>
      <c r="F393"/>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row>
    <row r="394" spans="1:56" ht="12" customHeight="1" x14ac:dyDescent="0.2">
      <c r="A394" s="1"/>
      <c r="B394" s="5" t="s">
        <v>66</v>
      </c>
      <c r="C394" s="412">
        <f>SUM(C380:C393)</f>
        <v>16084</v>
      </c>
      <c r="D394" s="435">
        <f>C394</f>
        <v>16084</v>
      </c>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row>
    <row r="395" spans="1:56" ht="11.1" customHeight="1" x14ac:dyDescent="0.2">
      <c r="A395" s="1"/>
      <c r="B395" s="1"/>
      <c r="C395" s="410"/>
      <c r="D395" s="433"/>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row>
    <row r="396" spans="1:56" ht="12" customHeight="1" x14ac:dyDescent="0.2">
      <c r="A396" s="6">
        <v>18</v>
      </c>
      <c r="B396" s="5" t="s">
        <v>199</v>
      </c>
      <c r="C396" s="412"/>
      <c r="D396" s="435"/>
      <c r="E396"/>
      <c r="F396"/>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row>
    <row r="397" spans="1:56" ht="12" customHeight="1" x14ac:dyDescent="0.2">
      <c r="A397" s="6">
        <v>18.100000000000001</v>
      </c>
      <c r="B397" s="7" t="s">
        <v>200</v>
      </c>
      <c r="C397" s="413"/>
      <c r="D397" s="436"/>
      <c r="E397"/>
      <c r="F397"/>
      <c r="G397"/>
      <c r="H397"/>
      <c r="I397"/>
      <c r="J397"/>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row>
    <row r="398" spans="1:56" ht="63" customHeight="1" x14ac:dyDescent="0.2">
      <c r="A398" s="1"/>
      <c r="B398" s="8" t="s">
        <v>201</v>
      </c>
      <c r="C398" s="414">
        <v>2550</v>
      </c>
      <c r="D398" s="438"/>
      <c r="E398"/>
      <c r="F398"/>
      <c r="G398" t="s">
        <v>667</v>
      </c>
      <c r="H398">
        <v>350</v>
      </c>
      <c r="I398"/>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row>
    <row r="399" spans="1:56" ht="11.1" customHeight="1" x14ac:dyDescent="0.2">
      <c r="A399" s="1"/>
      <c r="B399" s="1"/>
      <c r="C399" s="410"/>
      <c r="D399" s="433"/>
      <c r="E399"/>
      <c r="F399"/>
      <c r="G399"/>
      <c r="H399"/>
      <c r="I399"/>
      <c r="J399"/>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row>
    <row r="400" spans="1:56" ht="38.1" customHeight="1" x14ac:dyDescent="0.2">
      <c r="A400" s="1"/>
      <c r="B400" s="8" t="s">
        <v>202</v>
      </c>
      <c r="C400" s="423" t="s">
        <v>599</v>
      </c>
      <c r="D400" s="438"/>
      <c r="E400"/>
      <c r="F400"/>
      <c r="G400"/>
      <c r="H400">
        <v>1200</v>
      </c>
      <c r="I400"/>
      <c r="J400"/>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row>
    <row r="401" spans="1:56" ht="11.1" customHeight="1" x14ac:dyDescent="0.2">
      <c r="A401" s="1"/>
      <c r="B401" s="1"/>
      <c r="C401" s="410"/>
      <c r="D401" s="433"/>
      <c r="E401"/>
      <c r="F401"/>
      <c r="G401"/>
      <c r="H401"/>
      <c r="I401"/>
      <c r="J401"/>
      <c r="K40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row>
    <row r="402" spans="1:56" ht="38.1" customHeight="1" x14ac:dyDescent="0.2">
      <c r="A402" s="1"/>
      <c r="B402" s="8" t="s">
        <v>203</v>
      </c>
      <c r="C402" s="423" t="s">
        <v>599</v>
      </c>
      <c r="D402" s="438"/>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row>
    <row r="403" spans="1:56" ht="11.1" customHeight="1" x14ac:dyDescent="0.2">
      <c r="A403" s="1"/>
      <c r="B403" s="1"/>
      <c r="C403" s="410"/>
      <c r="D403" s="433"/>
      <c r="E403"/>
      <c r="F403"/>
      <c r="G403"/>
      <c r="H403"/>
      <c r="I403"/>
      <c r="J403"/>
      <c r="K403"/>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row>
    <row r="404" spans="1:56" ht="38.1" customHeight="1" x14ac:dyDescent="0.2">
      <c r="A404" s="1"/>
      <c r="B404" s="8" t="s">
        <v>204</v>
      </c>
      <c r="C404" s="414" t="s">
        <v>599</v>
      </c>
      <c r="D404" s="438"/>
      <c r="E404"/>
      <c r="F404"/>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row>
    <row r="405" spans="1:56" ht="11.1" customHeight="1" x14ac:dyDescent="0.2">
      <c r="A405" s="1"/>
      <c r="B405" s="1"/>
      <c r="C405" s="410"/>
      <c r="D405" s="433"/>
      <c r="E405"/>
      <c r="F405"/>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row>
    <row r="406" spans="1:56" ht="24.95" customHeight="1" x14ac:dyDescent="0.2">
      <c r="A406" s="1"/>
      <c r="B406" s="8" t="s">
        <v>205</v>
      </c>
      <c r="C406" s="414" t="s">
        <v>599</v>
      </c>
      <c r="D406" s="438"/>
      <c r="E406"/>
      <c r="F406"/>
      <c r="G406"/>
      <c r="H406"/>
      <c r="I406"/>
      <c r="J406"/>
      <c r="K406"/>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row>
    <row r="407" spans="1:56" ht="11.1" customHeight="1" x14ac:dyDescent="0.2">
      <c r="A407" s="1"/>
      <c r="B407" s="1"/>
      <c r="C407" s="410"/>
      <c r="D407" s="433"/>
      <c r="E407"/>
      <c r="F407"/>
      <c r="G407"/>
      <c r="H407"/>
      <c r="I407"/>
      <c r="J407"/>
      <c r="K407"/>
      <c r="L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row>
    <row r="408" spans="1:56" ht="24.95" customHeight="1" x14ac:dyDescent="0.2">
      <c r="A408" s="1"/>
      <c r="B408" s="8" t="s">
        <v>100</v>
      </c>
      <c r="C408" s="414" t="s">
        <v>599</v>
      </c>
      <c r="D408" s="438"/>
      <c r="E408"/>
      <c r="F408"/>
      <c r="G408"/>
      <c r="H408"/>
      <c r="I408"/>
      <c r="J408"/>
      <c r="K408"/>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row>
    <row r="409" spans="1:56" ht="11.1" customHeight="1" x14ac:dyDescent="0.2">
      <c r="A409" s="1"/>
      <c r="B409" s="1"/>
      <c r="C409" s="410"/>
      <c r="D409" s="433"/>
      <c r="E409"/>
      <c r="F409"/>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row>
    <row r="410" spans="1:56" ht="63" customHeight="1" x14ac:dyDescent="0.2">
      <c r="A410" s="1"/>
      <c r="B410" s="8" t="s">
        <v>206</v>
      </c>
      <c r="C410" s="414">
        <v>2950</v>
      </c>
      <c r="D410" s="438"/>
      <c r="E410"/>
      <c r="F410"/>
      <c r="G410"/>
      <c r="H410"/>
      <c r="I410"/>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row>
    <row r="411" spans="1:56" ht="11.1" customHeight="1" x14ac:dyDescent="0.2">
      <c r="A411" s="1"/>
      <c r="B411" s="1"/>
      <c r="C411" s="410"/>
      <c r="D411" s="433"/>
      <c r="E411"/>
      <c r="F411"/>
      <c r="G411"/>
      <c r="H411"/>
      <c r="I411"/>
      <c r="J411"/>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row>
    <row r="412" spans="1:56" ht="11.1" customHeight="1" x14ac:dyDescent="0.2">
      <c r="A412" s="6">
        <v>18.2</v>
      </c>
      <c r="B412" s="7" t="s">
        <v>207</v>
      </c>
      <c r="C412" s="413"/>
      <c r="D412" s="436"/>
      <c r="E412"/>
      <c r="F412"/>
      <c r="G412"/>
      <c r="H412"/>
      <c r="I412"/>
      <c r="J412"/>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row>
    <row r="413" spans="1:56" ht="54" customHeight="1" x14ac:dyDescent="0.2">
      <c r="A413" s="1"/>
      <c r="B413" s="1" t="s">
        <v>208</v>
      </c>
      <c r="C413" s="414">
        <f>G413*H413</f>
        <v>7760</v>
      </c>
      <c r="D413" s="438"/>
      <c r="E413"/>
      <c r="F413"/>
      <c r="G413">
        <v>160</v>
      </c>
      <c r="H413">
        <v>48.5</v>
      </c>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row>
    <row r="414" spans="1:56" ht="11.1" customHeight="1" x14ac:dyDescent="0.2">
      <c r="A414" s="1"/>
      <c r="B414" s="1"/>
      <c r="C414" s="410"/>
      <c r="D414" s="433"/>
      <c r="E414"/>
      <c r="F414"/>
      <c r="G414"/>
      <c r="H414"/>
      <c r="I414"/>
      <c r="J414"/>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row>
    <row r="415" spans="1:56" ht="24.95" customHeight="1" x14ac:dyDescent="0.2">
      <c r="A415" s="1"/>
      <c r="B415" s="8" t="s">
        <v>209</v>
      </c>
      <c r="C415" s="414" t="s">
        <v>599</v>
      </c>
      <c r="D415" s="438"/>
      <c r="E415"/>
      <c r="F415"/>
      <c r="G415"/>
      <c r="H415"/>
      <c r="I415"/>
      <c r="J415"/>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row>
    <row r="416" spans="1:56" ht="11.1" customHeight="1" x14ac:dyDescent="0.2">
      <c r="A416" s="1"/>
      <c r="B416" s="1"/>
      <c r="C416" s="410"/>
      <c r="D416" s="433"/>
      <c r="E416"/>
      <c r="F416"/>
      <c r="G416"/>
      <c r="H416"/>
      <c r="I416"/>
      <c r="J416"/>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row>
    <row r="417" spans="1:56" ht="12" customHeight="1" x14ac:dyDescent="0.2">
      <c r="A417" s="6">
        <v>18.3</v>
      </c>
      <c r="B417" s="7" t="s">
        <v>210</v>
      </c>
      <c r="C417" s="413"/>
      <c r="D417" s="436"/>
      <c r="E417"/>
      <c r="F417"/>
      <c r="G417"/>
      <c r="H417"/>
      <c r="I417"/>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row>
    <row r="418" spans="1:56" ht="38.1" customHeight="1" x14ac:dyDescent="0.2">
      <c r="A418" s="1"/>
      <c r="B418" s="8" t="s">
        <v>211</v>
      </c>
      <c r="C418" s="414">
        <f>G418*H418</f>
        <v>6780</v>
      </c>
      <c r="D418" s="438"/>
      <c r="E418"/>
      <c r="F418"/>
      <c r="G418">
        <v>150</v>
      </c>
      <c r="H418">
        <v>45.2</v>
      </c>
      <c r="I418"/>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row>
    <row r="419" spans="1:56" ht="11.1" customHeight="1" x14ac:dyDescent="0.2">
      <c r="A419" s="1"/>
      <c r="B419" s="1"/>
      <c r="C419" s="410"/>
      <c r="D419" s="433"/>
      <c r="E419"/>
      <c r="F419"/>
      <c r="G419"/>
      <c r="H419"/>
      <c r="I419"/>
      <c r="J419"/>
      <c r="K419"/>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row>
    <row r="420" spans="1:56" ht="24.95" customHeight="1" x14ac:dyDescent="0.2">
      <c r="A420" s="1"/>
      <c r="B420" s="8" t="s">
        <v>209</v>
      </c>
      <c r="C420" s="414" t="s">
        <v>599</v>
      </c>
      <c r="D420" s="438"/>
      <c r="E420"/>
      <c r="F420"/>
      <c r="G420"/>
      <c r="H420"/>
      <c r="I420"/>
      <c r="J420"/>
      <c r="K420"/>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row>
    <row r="421" spans="1:56" ht="11.1" customHeight="1" x14ac:dyDescent="0.2">
      <c r="A421" s="1"/>
      <c r="B421" s="1"/>
      <c r="C421" s="410"/>
      <c r="D421" s="433"/>
      <c r="E421"/>
      <c r="F421"/>
      <c r="G421"/>
      <c r="H421"/>
      <c r="I421"/>
      <c r="J421"/>
      <c r="K421"/>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row>
    <row r="422" spans="1:56" ht="12" customHeight="1" x14ac:dyDescent="0.2">
      <c r="A422" s="6">
        <v>18.399999999999999</v>
      </c>
      <c r="B422" s="7" t="s">
        <v>212</v>
      </c>
      <c r="C422" s="413"/>
      <c r="D422" s="436"/>
      <c r="E422"/>
      <c r="F422"/>
      <c r="G422"/>
      <c r="H422"/>
      <c r="I422"/>
      <c r="J422"/>
      <c r="K422"/>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row>
    <row r="423" spans="1:56" ht="38.1" customHeight="1" x14ac:dyDescent="0.2">
      <c r="A423" s="1"/>
      <c r="B423" s="8" t="s">
        <v>213</v>
      </c>
      <c r="C423" s="414" t="s">
        <v>599</v>
      </c>
      <c r="D423" s="438"/>
      <c r="E423"/>
      <c r="F423"/>
      <c r="G423"/>
      <c r="H423"/>
      <c r="I423"/>
      <c r="J423"/>
      <c r="K423"/>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row>
    <row r="424" spans="1:56" ht="11.1" customHeight="1" x14ac:dyDescent="0.2">
      <c r="A424" s="1"/>
      <c r="B424" s="1"/>
      <c r="C424" s="410"/>
      <c r="D424" s="433"/>
      <c r="E424"/>
      <c r="F424"/>
      <c r="G424"/>
      <c r="H424"/>
      <c r="I424"/>
      <c r="J424"/>
      <c r="K424"/>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row>
    <row r="425" spans="1:56" ht="24.95" customHeight="1" x14ac:dyDescent="0.2">
      <c r="A425" s="1"/>
      <c r="B425" s="8" t="s">
        <v>209</v>
      </c>
      <c r="C425" s="414" t="s">
        <v>599</v>
      </c>
      <c r="D425" s="438"/>
      <c r="E425"/>
      <c r="F425"/>
      <c r="G425"/>
      <c r="H425"/>
      <c r="I425"/>
      <c r="J425"/>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row>
    <row r="426" spans="1:56" ht="11.1" customHeight="1" x14ac:dyDescent="0.2">
      <c r="A426" s="1"/>
      <c r="B426" s="1"/>
      <c r="C426" s="410"/>
      <c r="D426" s="433"/>
      <c r="E426"/>
      <c r="F426"/>
      <c r="G426"/>
      <c r="H426"/>
      <c r="I426"/>
      <c r="J426"/>
      <c r="K426"/>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row>
    <row r="427" spans="1:56" ht="12" customHeight="1" x14ac:dyDescent="0.2">
      <c r="A427" s="6">
        <v>18.5</v>
      </c>
      <c r="B427" s="7" t="s">
        <v>214</v>
      </c>
      <c r="C427" s="413"/>
      <c r="D427" s="436"/>
      <c r="E427"/>
      <c r="F427"/>
      <c r="G427"/>
      <c r="H427"/>
      <c r="I427"/>
      <c r="J427"/>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row>
    <row r="428" spans="1:56" ht="70.5" customHeight="1" x14ac:dyDescent="0.2">
      <c r="A428" s="1"/>
      <c r="B428" s="8" t="s">
        <v>215</v>
      </c>
      <c r="C428" s="414">
        <f>G428*H428</f>
        <v>5896</v>
      </c>
      <c r="D428" s="438"/>
      <c r="E428"/>
      <c r="F428"/>
      <c r="G428">
        <v>88</v>
      </c>
      <c r="H428">
        <v>67</v>
      </c>
      <c r="I428"/>
      <c r="J428"/>
      <c r="K42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row>
    <row r="429" spans="1:56" ht="11.1" customHeight="1" x14ac:dyDescent="0.2">
      <c r="A429" s="1"/>
      <c r="B429" s="1"/>
      <c r="C429" s="410"/>
      <c r="D429" s="433"/>
      <c r="E429"/>
      <c r="F429"/>
      <c r="G429"/>
      <c r="H429"/>
      <c r="I429"/>
      <c r="J429"/>
      <c r="K429"/>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row>
    <row r="430" spans="1:56" ht="12" customHeight="1" x14ac:dyDescent="0.2">
      <c r="A430" s="1"/>
      <c r="B430" s="8" t="s">
        <v>216</v>
      </c>
      <c r="C430" s="414" t="s">
        <v>599</v>
      </c>
      <c r="D430" s="438"/>
      <c r="E430"/>
      <c r="F430"/>
      <c r="G430"/>
      <c r="H430"/>
      <c r="I430"/>
      <c r="J430"/>
      <c r="K430"/>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row>
    <row r="431" spans="1:56" ht="11.1" customHeight="1" x14ac:dyDescent="0.2">
      <c r="A431" s="1"/>
      <c r="B431" s="1"/>
      <c r="C431" s="410"/>
      <c r="D431" s="433"/>
      <c r="E431"/>
      <c r="F431"/>
      <c r="G431"/>
      <c r="H431"/>
      <c r="I431"/>
      <c r="J431"/>
      <c r="K431"/>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row>
    <row r="432" spans="1:56" ht="24.95" customHeight="1" x14ac:dyDescent="0.2">
      <c r="A432" s="1"/>
      <c r="B432" s="8" t="s">
        <v>217</v>
      </c>
      <c r="C432" s="414" t="s">
        <v>599</v>
      </c>
      <c r="D432" s="438"/>
      <c r="E432"/>
      <c r="F432"/>
      <c r="G432"/>
      <c r="H432"/>
      <c r="I432"/>
      <c r="J432"/>
      <c r="K432"/>
      <c r="L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row>
    <row r="433" spans="1:56" ht="11.1" customHeight="1" x14ac:dyDescent="0.2">
      <c r="A433" s="1"/>
      <c r="B433" s="1"/>
      <c r="C433" s="410"/>
      <c r="D433" s="433"/>
      <c r="E433"/>
      <c r="F433"/>
      <c r="G433"/>
      <c r="H433"/>
      <c r="I433"/>
      <c r="J433"/>
      <c r="K433"/>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row>
    <row r="434" spans="1:56" ht="24.95" customHeight="1" x14ac:dyDescent="0.2">
      <c r="A434" s="1"/>
      <c r="B434" s="8" t="s">
        <v>209</v>
      </c>
      <c r="C434" s="414" t="s">
        <v>599</v>
      </c>
      <c r="D434" s="438"/>
      <c r="E434"/>
      <c r="F434"/>
      <c r="G434"/>
      <c r="H434"/>
      <c r="I434"/>
      <c r="J434"/>
      <c r="K434"/>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row>
    <row r="435" spans="1:56" ht="11.1" customHeight="1" x14ac:dyDescent="0.2">
      <c r="A435" s="1"/>
      <c r="B435" s="1"/>
      <c r="C435" s="410"/>
      <c r="D435" s="433"/>
      <c r="E435"/>
      <c r="F435"/>
      <c r="G435"/>
      <c r="H435"/>
      <c r="I435"/>
      <c r="J435"/>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row>
    <row r="436" spans="1:56" ht="12" customHeight="1" x14ac:dyDescent="0.2">
      <c r="A436" s="1"/>
      <c r="B436" s="5" t="s">
        <v>66</v>
      </c>
      <c r="C436" s="412">
        <f>SUM(C397:C435)</f>
        <v>25936</v>
      </c>
      <c r="D436" s="435">
        <f>C436</f>
        <v>25936</v>
      </c>
      <c r="E436"/>
      <c r="F436"/>
      <c r="G436"/>
      <c r="H436"/>
      <c r="I436"/>
      <c r="J436"/>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row>
    <row r="437" spans="1:56" ht="11.1" customHeight="1" x14ac:dyDescent="0.2">
      <c r="A437" s="1"/>
      <c r="B437" s="1"/>
      <c r="C437" s="410"/>
      <c r="D437" s="433"/>
      <c r="E437"/>
      <c r="F437"/>
      <c r="G437"/>
      <c r="H437"/>
      <c r="I437"/>
      <c r="J437"/>
      <c r="K437"/>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row>
    <row r="438" spans="1:56" ht="12" customHeight="1" x14ac:dyDescent="0.2">
      <c r="A438" s="6">
        <v>19</v>
      </c>
      <c r="B438" s="5" t="s">
        <v>218</v>
      </c>
      <c r="C438" s="412"/>
      <c r="D438" s="435"/>
      <c r="E438"/>
      <c r="F438"/>
      <c r="G438"/>
      <c r="H438"/>
      <c r="I438"/>
      <c r="J438"/>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row>
    <row r="439" spans="1:56" ht="63" customHeight="1" x14ac:dyDescent="0.2">
      <c r="A439" s="1"/>
      <c r="B439" s="8" t="s">
        <v>219</v>
      </c>
      <c r="C439" s="414">
        <v>8260</v>
      </c>
      <c r="D439" s="438"/>
      <c r="E439"/>
      <c r="F439"/>
      <c r="G439"/>
      <c r="H439"/>
      <c r="I439"/>
      <c r="J439"/>
      <c r="K439"/>
      <c r="L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row>
    <row r="440" spans="1:56" ht="11.1" customHeight="1" x14ac:dyDescent="0.2">
      <c r="A440" s="1"/>
      <c r="B440" s="1"/>
      <c r="C440" s="410"/>
      <c r="D440" s="433"/>
      <c r="E440"/>
      <c r="F440"/>
      <c r="G440"/>
      <c r="H440"/>
      <c r="I440"/>
      <c r="J440"/>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row>
    <row r="441" spans="1:56" ht="12" customHeight="1" x14ac:dyDescent="0.2">
      <c r="A441" s="10">
        <v>19.100000000000001</v>
      </c>
      <c r="B441" s="7" t="s">
        <v>220</v>
      </c>
      <c r="C441" s="413"/>
      <c r="D441" s="436"/>
      <c r="E441"/>
      <c r="F441"/>
      <c r="G441"/>
      <c r="H441"/>
      <c r="I441"/>
      <c r="J441"/>
      <c r="K441"/>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row>
    <row r="442" spans="1:56" ht="24.95" customHeight="1" x14ac:dyDescent="0.2">
      <c r="A442" s="1"/>
      <c r="B442" s="8" t="s">
        <v>221</v>
      </c>
      <c r="C442" s="414" t="s">
        <v>599</v>
      </c>
      <c r="D442" s="438"/>
      <c r="E442"/>
      <c r="F442"/>
      <c r="G442"/>
      <c r="H442"/>
      <c r="I442"/>
      <c r="J442"/>
      <c r="K442"/>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row>
    <row r="443" spans="1:56" ht="11.1" customHeight="1" x14ac:dyDescent="0.2">
      <c r="A443" s="1"/>
      <c r="B443" s="1"/>
      <c r="C443" s="410"/>
      <c r="D443" s="433"/>
      <c r="E443"/>
      <c r="F443"/>
      <c r="G443"/>
      <c r="H443"/>
      <c r="I443"/>
      <c r="J443"/>
      <c r="K443"/>
      <c r="L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row>
    <row r="444" spans="1:56" ht="12" customHeight="1" x14ac:dyDescent="0.2">
      <c r="A444" s="1"/>
      <c r="B444" s="5" t="s">
        <v>66</v>
      </c>
      <c r="C444" s="412">
        <f>SUM(C439:C443)</f>
        <v>8260</v>
      </c>
      <c r="D444" s="435">
        <f>C444</f>
        <v>8260</v>
      </c>
      <c r="E444"/>
      <c r="F444"/>
      <c r="G444"/>
      <c r="H444"/>
      <c r="I444"/>
      <c r="J444"/>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row>
    <row r="445" spans="1:56" ht="11.1" customHeight="1" x14ac:dyDescent="0.2">
      <c r="A445" s="1"/>
      <c r="B445" s="1"/>
      <c r="C445" s="410"/>
      <c r="D445" s="433"/>
      <c r="E445"/>
      <c r="F445"/>
      <c r="G445"/>
      <c r="H445"/>
      <c r="I445"/>
      <c r="J445"/>
      <c r="K445"/>
      <c r="L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row>
    <row r="446" spans="1:56" ht="12" customHeight="1" x14ac:dyDescent="0.2">
      <c r="A446" s="6">
        <v>20</v>
      </c>
      <c r="B446" s="5" t="s">
        <v>222</v>
      </c>
      <c r="C446" s="412"/>
      <c r="D446" s="435"/>
      <c r="E446"/>
      <c r="F446"/>
      <c r="G446"/>
      <c r="H446"/>
      <c r="I446"/>
      <c r="J446"/>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row>
    <row r="447" spans="1:56" ht="51" customHeight="1" x14ac:dyDescent="0.2">
      <c r="A447" s="1"/>
      <c r="B447" s="8" t="s">
        <v>223</v>
      </c>
      <c r="C447" s="414">
        <f>E447*G447</f>
        <v>1230</v>
      </c>
      <c r="D447" s="438"/>
      <c r="E447">
        <v>3</v>
      </c>
      <c r="F447" s="425" t="s">
        <v>670</v>
      </c>
      <c r="G447">
        <v>410</v>
      </c>
      <c r="H447"/>
      <c r="I447"/>
      <c r="J447"/>
      <c r="K447"/>
      <c r="L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row>
    <row r="448" spans="1:56" ht="11.1" customHeight="1" x14ac:dyDescent="0.2">
      <c r="A448" s="1"/>
      <c r="B448" s="1"/>
      <c r="C448" s="410"/>
      <c r="D448" s="433"/>
      <c r="E448"/>
      <c r="F448"/>
      <c r="G448"/>
      <c r="H448"/>
      <c r="I448"/>
      <c r="J448"/>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row>
    <row r="449" spans="1:56" ht="69.75" customHeight="1" x14ac:dyDescent="0.2">
      <c r="A449" s="1"/>
      <c r="B449" s="430" t="s">
        <v>686</v>
      </c>
      <c r="C449" s="420">
        <v>30000</v>
      </c>
      <c r="D449" s="442"/>
      <c r="E449"/>
      <c r="F449"/>
      <c r="G449"/>
      <c r="H449"/>
      <c r="I449"/>
      <c r="J449"/>
      <c r="K449"/>
      <c r="L449"/>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row>
    <row r="450" spans="1:56" ht="11.1" customHeight="1" x14ac:dyDescent="0.2">
      <c r="A450" s="1"/>
      <c r="B450" s="1"/>
      <c r="C450" s="410"/>
      <c r="D450" s="433"/>
      <c r="E450"/>
      <c r="F450"/>
      <c r="G450"/>
      <c r="H450"/>
      <c r="I450"/>
      <c r="J450"/>
      <c r="K450"/>
      <c r="L450"/>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row>
    <row r="451" spans="1:56" ht="24.95" customHeight="1" x14ac:dyDescent="0.2">
      <c r="A451" s="1"/>
      <c r="B451" s="8" t="s">
        <v>224</v>
      </c>
      <c r="C451" s="414"/>
      <c r="D451" s="438"/>
      <c r="E451"/>
      <c r="F451"/>
      <c r="G451"/>
      <c r="H451"/>
      <c r="I451"/>
      <c r="J451"/>
      <c r="K451"/>
      <c r="L451"/>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row>
    <row r="452" spans="1:56" ht="11.1" customHeight="1" x14ac:dyDescent="0.2">
      <c r="A452" s="1"/>
      <c r="B452" s="1"/>
      <c r="C452" s="410"/>
      <c r="D452" s="433"/>
      <c r="E452"/>
      <c r="F452"/>
      <c r="G452"/>
      <c r="H452"/>
      <c r="I452"/>
      <c r="J452"/>
      <c r="K452"/>
      <c r="L452"/>
      <c r="M452"/>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row>
    <row r="453" spans="1:56" ht="24.95" customHeight="1" x14ac:dyDescent="0.2">
      <c r="A453" s="1"/>
      <c r="B453" s="8" t="s">
        <v>225</v>
      </c>
      <c r="C453" s="423" t="s">
        <v>668</v>
      </c>
      <c r="D453" s="440"/>
      <c r="E453"/>
      <c r="F453"/>
      <c r="G453"/>
      <c r="H453"/>
      <c r="I453"/>
      <c r="J453"/>
      <c r="K453"/>
      <c r="L453"/>
      <c r="M453"/>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row>
    <row r="454" spans="1:56" ht="11.1" customHeight="1" x14ac:dyDescent="0.2">
      <c r="A454" s="1"/>
      <c r="B454" s="1"/>
      <c r="C454" s="410"/>
      <c r="D454" s="433"/>
      <c r="E454"/>
      <c r="F454"/>
      <c r="G454"/>
      <c r="H454"/>
      <c r="I454"/>
      <c r="J454"/>
      <c r="K454"/>
      <c r="L454"/>
      <c r="M454"/>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row>
    <row r="455" spans="1:56" ht="12" customHeight="1" x14ac:dyDescent="0.2">
      <c r="A455" s="10">
        <v>20.100000000000001</v>
      </c>
      <c r="B455" s="7" t="s">
        <v>226</v>
      </c>
      <c r="C455" s="413"/>
      <c r="D455" s="436"/>
      <c r="E455"/>
      <c r="F455"/>
      <c r="G455"/>
      <c r="H455"/>
      <c r="I455"/>
      <c r="J455"/>
      <c r="K455"/>
      <c r="L455"/>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row>
    <row r="456" spans="1:56" ht="63" customHeight="1" x14ac:dyDescent="0.2">
      <c r="A456" s="1"/>
      <c r="B456" s="8" t="s">
        <v>227</v>
      </c>
      <c r="C456" s="414">
        <f>21*K456</f>
        <v>1554</v>
      </c>
      <c r="D456" s="438"/>
      <c r="E456"/>
      <c r="F456"/>
      <c r="G456" s="425" t="s">
        <v>669</v>
      </c>
      <c r="H456">
        <v>40</v>
      </c>
      <c r="I456">
        <v>4</v>
      </c>
      <c r="J456">
        <v>30</v>
      </c>
      <c r="K456">
        <f>H456+I456+J456</f>
        <v>74</v>
      </c>
      <c r="L456"/>
      <c r="M456"/>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row>
    <row r="457" spans="1:56" ht="11.1" customHeight="1" x14ac:dyDescent="0.2">
      <c r="A457" s="1"/>
      <c r="B457" s="1"/>
      <c r="C457" s="410"/>
      <c r="D457" s="433"/>
      <c r="E457"/>
      <c r="F457"/>
      <c r="G457"/>
      <c r="H457"/>
      <c r="I457"/>
      <c r="J457"/>
      <c r="K457"/>
      <c r="L457"/>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row>
    <row r="458" spans="1:56" ht="38.1" customHeight="1" x14ac:dyDescent="0.2">
      <c r="A458" s="1"/>
      <c r="B458" s="1" t="s">
        <v>228</v>
      </c>
      <c r="C458" s="423" t="s">
        <v>599</v>
      </c>
      <c r="D458" s="440"/>
      <c r="E458"/>
      <c r="F458"/>
      <c r="G458"/>
      <c r="H458"/>
      <c r="I458"/>
      <c r="J458"/>
      <c r="K458"/>
      <c r="L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row>
    <row r="459" spans="1:56" ht="11.1" customHeight="1" x14ac:dyDescent="0.2">
      <c r="A459" s="1"/>
      <c r="B459" s="1"/>
      <c r="C459" s="410"/>
      <c r="D459" s="433"/>
      <c r="E459"/>
      <c r="F459"/>
      <c r="G459"/>
      <c r="H459"/>
      <c r="I459"/>
      <c r="J459"/>
      <c r="K459"/>
      <c r="L459"/>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row>
    <row r="460" spans="1:56" ht="12" customHeight="1" x14ac:dyDescent="0.2">
      <c r="A460" s="1"/>
      <c r="B460" s="5" t="s">
        <v>66</v>
      </c>
      <c r="C460" s="412">
        <f>SUM(C447:C459)</f>
        <v>32784</v>
      </c>
      <c r="D460" s="435">
        <f>C460</f>
        <v>32784</v>
      </c>
      <c r="E460"/>
      <c r="F460"/>
      <c r="G460"/>
      <c r="H460"/>
      <c r="I460"/>
      <c r="J460"/>
      <c r="K460"/>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row>
    <row r="461" spans="1:56" ht="11.1" customHeight="1" x14ac:dyDescent="0.2">
      <c r="A461" s="1"/>
      <c r="B461" s="1"/>
      <c r="C461" s="410"/>
      <c r="D461" s="433"/>
      <c r="E461"/>
      <c r="F461"/>
      <c r="G461"/>
      <c r="H461"/>
      <c r="I461"/>
      <c r="J461"/>
      <c r="K461"/>
      <c r="L461"/>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row>
    <row r="462" spans="1:56" ht="12" customHeight="1" x14ac:dyDescent="0.2">
      <c r="A462" s="6">
        <v>21</v>
      </c>
      <c r="B462" s="5" t="s">
        <v>229</v>
      </c>
      <c r="C462" s="412"/>
      <c r="D462" s="435"/>
      <c r="E462"/>
      <c r="F462"/>
      <c r="G462"/>
      <c r="H462"/>
      <c r="I462"/>
      <c r="J462"/>
      <c r="K462"/>
      <c r="L462"/>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row>
    <row r="463" spans="1:56" ht="63" customHeight="1" x14ac:dyDescent="0.2">
      <c r="A463" s="1"/>
      <c r="B463" s="8" t="s">
        <v>230</v>
      </c>
      <c r="C463" s="414">
        <f>E463*G463</f>
        <v>2050</v>
      </c>
      <c r="D463" s="438"/>
      <c r="E463">
        <v>5</v>
      </c>
      <c r="F463" s="425" t="s">
        <v>670</v>
      </c>
      <c r="G463">
        <v>410</v>
      </c>
      <c r="H463"/>
      <c r="I463"/>
      <c r="J463"/>
      <c r="K463"/>
      <c r="L463"/>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row>
    <row r="464" spans="1:56" ht="11.1" customHeight="1" x14ac:dyDescent="0.2">
      <c r="A464" s="1"/>
      <c r="B464" s="1"/>
      <c r="C464" s="410"/>
      <c r="D464" s="433"/>
      <c r="E464"/>
      <c r="F464"/>
      <c r="G464"/>
      <c r="H464"/>
      <c r="I464"/>
      <c r="J464"/>
      <c r="K464"/>
      <c r="L464"/>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row>
    <row r="465" spans="1:56" ht="42" customHeight="1" x14ac:dyDescent="0.2">
      <c r="A465" s="1"/>
      <c r="B465" s="419" t="s">
        <v>687</v>
      </c>
      <c r="C465" s="420">
        <v>13500</v>
      </c>
      <c r="D465" s="442"/>
      <c r="E465"/>
      <c r="F465"/>
      <c r="G465"/>
      <c r="H465"/>
      <c r="I465"/>
      <c r="J465"/>
      <c r="K465"/>
      <c r="L46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row>
    <row r="466" spans="1:56" ht="12" customHeight="1" x14ac:dyDescent="0.2">
      <c r="A466" s="1"/>
      <c r="B466" s="1"/>
      <c r="C466" s="410"/>
      <c r="D466" s="433"/>
      <c r="E466"/>
      <c r="F466"/>
      <c r="G466"/>
      <c r="H466"/>
      <c r="I466"/>
      <c r="J466"/>
      <c r="K466"/>
      <c r="L466"/>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row>
    <row r="467" spans="1:56" ht="40.5" customHeight="1" x14ac:dyDescent="0.2">
      <c r="A467" s="1"/>
      <c r="B467" s="8" t="s">
        <v>231</v>
      </c>
      <c r="C467" s="414">
        <f>E467*G467</f>
        <v>820</v>
      </c>
      <c r="D467" s="438"/>
      <c r="E467">
        <v>4</v>
      </c>
      <c r="F467" s="425" t="s">
        <v>670</v>
      </c>
      <c r="G467">
        <v>205</v>
      </c>
      <c r="H467"/>
      <c r="I467"/>
      <c r="J467"/>
      <c r="K467"/>
      <c r="L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row>
    <row r="468" spans="1:56" ht="11.1" customHeight="1" x14ac:dyDescent="0.2">
      <c r="A468" s="1"/>
      <c r="B468" s="1"/>
      <c r="C468" s="410"/>
      <c r="D468" s="433"/>
      <c r="E468"/>
      <c r="F468"/>
      <c r="G468"/>
      <c r="H468"/>
      <c r="I468"/>
      <c r="J468"/>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row>
    <row r="469" spans="1:56" ht="12" customHeight="1" x14ac:dyDescent="0.2">
      <c r="A469" s="10">
        <v>21.1</v>
      </c>
      <c r="B469" s="7" t="s">
        <v>226</v>
      </c>
      <c r="C469" s="413"/>
      <c r="D469" s="436"/>
      <c r="E469"/>
      <c r="F469"/>
      <c r="G469"/>
      <c r="H469"/>
      <c r="I469"/>
      <c r="J469"/>
      <c r="K469"/>
      <c r="L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row>
    <row r="470" spans="1:56" ht="63" customHeight="1" x14ac:dyDescent="0.2">
      <c r="A470" s="1"/>
      <c r="B470" s="8" t="s">
        <v>232</v>
      </c>
      <c r="C470" s="414">
        <f>30*K470</f>
        <v>2490</v>
      </c>
      <c r="D470" s="438"/>
      <c r="E470"/>
      <c r="F470"/>
      <c r="G470" s="425" t="s">
        <v>671</v>
      </c>
      <c r="H470">
        <v>50</v>
      </c>
      <c r="I470">
        <v>3</v>
      </c>
      <c r="J470">
        <v>30</v>
      </c>
      <c r="K470">
        <f>H470+I470+J470</f>
        <v>83</v>
      </c>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row>
    <row r="471" spans="1:56" ht="11.1" customHeight="1" x14ac:dyDescent="0.2">
      <c r="A471" s="1"/>
      <c r="B471" s="1"/>
      <c r="C471" s="410"/>
      <c r="D471" s="433"/>
      <c r="E471"/>
      <c r="F471"/>
      <c r="G471"/>
      <c r="H471"/>
      <c r="I471"/>
      <c r="J471"/>
      <c r="K471"/>
      <c r="L471"/>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row>
    <row r="472" spans="1:56" ht="38.1" customHeight="1" x14ac:dyDescent="0.2">
      <c r="A472" s="1"/>
      <c r="B472" s="1" t="s">
        <v>233</v>
      </c>
      <c r="C472" s="423" t="s">
        <v>599</v>
      </c>
      <c r="D472" s="440"/>
      <c r="E472"/>
      <c r="F472"/>
      <c r="G472"/>
      <c r="H472"/>
      <c r="I472"/>
      <c r="J472"/>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row>
    <row r="473" spans="1:56" ht="11.1" customHeight="1" x14ac:dyDescent="0.2">
      <c r="A473" s="1"/>
      <c r="B473" s="1"/>
      <c r="C473" s="410"/>
      <c r="D473" s="433"/>
      <c r="E473"/>
      <c r="F473"/>
      <c r="G473"/>
      <c r="H473"/>
      <c r="I473"/>
      <c r="J473"/>
      <c r="K473"/>
      <c r="L473"/>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row>
    <row r="474" spans="1:56" ht="12" customHeight="1" x14ac:dyDescent="0.2">
      <c r="A474" s="1"/>
      <c r="B474" s="5" t="s">
        <v>66</v>
      </c>
      <c r="C474" s="412">
        <f>SUM(C463:C473)</f>
        <v>18860</v>
      </c>
      <c r="D474" s="435">
        <f>C474</f>
        <v>18860</v>
      </c>
      <c r="E474"/>
      <c r="F474"/>
      <c r="G474"/>
      <c r="H474"/>
      <c r="I474"/>
      <c r="J474"/>
      <c r="K474"/>
      <c r="L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row>
    <row r="475" spans="1:56" ht="11.1" customHeight="1" x14ac:dyDescent="0.2">
      <c r="A475" s="1"/>
      <c r="B475" s="1"/>
      <c r="C475" s="410"/>
      <c r="D475" s="433"/>
      <c r="E475"/>
      <c r="F475"/>
      <c r="G475"/>
      <c r="H475"/>
      <c r="I475"/>
      <c r="J475"/>
      <c r="K475"/>
      <c r="L47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row>
    <row r="476" spans="1:56" ht="12" customHeight="1" x14ac:dyDescent="0.2">
      <c r="A476" s="6">
        <v>22</v>
      </c>
      <c r="B476" s="5" t="s">
        <v>234</v>
      </c>
      <c r="C476" s="412"/>
      <c r="D476" s="435"/>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row>
    <row r="477" spans="1:56" ht="12" customHeight="1" x14ac:dyDescent="0.2">
      <c r="A477" s="10">
        <v>22.1</v>
      </c>
      <c r="B477" s="7" t="s">
        <v>235</v>
      </c>
      <c r="C477" s="413"/>
      <c r="D477" s="436"/>
      <c r="E477"/>
      <c r="F477"/>
      <c r="G477"/>
      <c r="H477"/>
      <c r="I477"/>
      <c r="J477"/>
      <c r="K477"/>
      <c r="L477"/>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row>
    <row r="478" spans="1:56" ht="36.950000000000003" customHeight="1" x14ac:dyDescent="0.2">
      <c r="A478" s="1"/>
      <c r="B478" s="8" t="s">
        <v>236</v>
      </c>
      <c r="C478" s="414">
        <f>F478*G478</f>
        <v>3432</v>
      </c>
      <c r="D478" s="438"/>
      <c r="E478"/>
      <c r="F478">
        <v>300</v>
      </c>
      <c r="G478">
        <v>11.44</v>
      </c>
      <c r="H478"/>
      <c r="I478"/>
      <c r="J478"/>
      <c r="K478"/>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row>
    <row r="479" spans="1:56" ht="11.1" customHeight="1" x14ac:dyDescent="0.2">
      <c r="A479" s="1"/>
      <c r="B479" s="1"/>
      <c r="C479" s="410"/>
      <c r="D479" s="433"/>
      <c r="E479"/>
      <c r="F479"/>
      <c r="G479"/>
      <c r="H479"/>
      <c r="I479"/>
      <c r="J479"/>
      <c r="K479"/>
      <c r="L479"/>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row>
    <row r="480" spans="1:56" ht="12" customHeight="1" x14ac:dyDescent="0.2">
      <c r="A480" s="6">
        <v>22.2</v>
      </c>
      <c r="B480" s="7" t="s">
        <v>237</v>
      </c>
      <c r="C480" s="413"/>
      <c r="D480" s="436"/>
      <c r="E480"/>
      <c r="F480"/>
      <c r="G480"/>
      <c r="H480"/>
      <c r="I480"/>
      <c r="J480"/>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row>
    <row r="481" spans="1:56" ht="38.1" customHeight="1" x14ac:dyDescent="0.2">
      <c r="A481" s="1"/>
      <c r="B481" s="8" t="s">
        <v>238</v>
      </c>
      <c r="C481" s="414">
        <v>1654</v>
      </c>
      <c r="D481" s="438"/>
      <c r="E481"/>
      <c r="F481"/>
      <c r="G481"/>
      <c r="H481"/>
      <c r="I481"/>
      <c r="J481"/>
      <c r="K481"/>
      <c r="L481"/>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row>
    <row r="482" spans="1:56" ht="11.1" customHeight="1" x14ac:dyDescent="0.2">
      <c r="A482" s="1"/>
      <c r="B482" s="1"/>
      <c r="C482" s="410"/>
      <c r="D482" s="433"/>
      <c r="E482"/>
      <c r="F482"/>
      <c r="G482"/>
      <c r="H482"/>
      <c r="I482"/>
      <c r="J482"/>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row>
    <row r="483" spans="1:56" ht="75.95" customHeight="1" x14ac:dyDescent="0.2">
      <c r="A483" s="1"/>
      <c r="B483" s="8" t="s">
        <v>239</v>
      </c>
      <c r="C483" s="414">
        <f>Measure!J35</f>
        <v>6720</v>
      </c>
      <c r="D483" s="438"/>
      <c r="E483"/>
      <c r="F483"/>
      <c r="G483"/>
      <c r="H483"/>
      <c r="I483"/>
      <c r="J483"/>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row>
    <row r="484" spans="1:56" ht="11.1" customHeight="1" x14ac:dyDescent="0.2">
      <c r="A484" s="1"/>
      <c r="B484" s="1"/>
      <c r="C484" s="410"/>
      <c r="D484" s="433"/>
      <c r="E484"/>
      <c r="F484"/>
      <c r="G484"/>
      <c r="H484"/>
      <c r="I484"/>
      <c r="J484"/>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row>
    <row r="485" spans="1:56" ht="75.95" customHeight="1" x14ac:dyDescent="0.2">
      <c r="A485" s="1"/>
      <c r="B485" s="1" t="s">
        <v>240</v>
      </c>
      <c r="C485" s="414">
        <v>1250</v>
      </c>
      <c r="D485" s="438"/>
      <c r="E485"/>
      <c r="F485"/>
      <c r="G485"/>
      <c r="H485"/>
      <c r="I485"/>
      <c r="J485"/>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row>
    <row r="486" spans="1:56" ht="11.1" customHeight="1" x14ac:dyDescent="0.2">
      <c r="A486" s="1"/>
      <c r="B486" s="1"/>
      <c r="C486" s="410"/>
      <c r="D486" s="433"/>
      <c r="E486"/>
      <c r="F486"/>
      <c r="G486"/>
      <c r="H486"/>
      <c r="I486"/>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row>
    <row r="487" spans="1:56" ht="63" customHeight="1" x14ac:dyDescent="0.2">
      <c r="A487" s="1"/>
      <c r="B487" s="8" t="s">
        <v>241</v>
      </c>
      <c r="C487" s="414">
        <v>980</v>
      </c>
      <c r="D487" s="438"/>
      <c r="E487"/>
      <c r="F487"/>
      <c r="G487"/>
      <c r="H487"/>
      <c r="I487"/>
      <c r="J487"/>
      <c r="K487"/>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row>
    <row r="488" spans="1:56" ht="11.1" customHeight="1" x14ac:dyDescent="0.2">
      <c r="A488" s="1"/>
      <c r="B488" s="1"/>
      <c r="C488" s="410"/>
      <c r="D488" s="433"/>
      <c r="E488"/>
      <c r="F488"/>
      <c r="G488"/>
      <c r="H488"/>
      <c r="I488"/>
      <c r="J488"/>
      <c r="K488"/>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row>
    <row r="489" spans="1:56" ht="12" customHeight="1" x14ac:dyDescent="0.2">
      <c r="A489" s="1"/>
      <c r="B489" s="5" t="s">
        <v>66</v>
      </c>
      <c r="C489" s="412">
        <f>SUM(C477:C488)</f>
        <v>14036</v>
      </c>
      <c r="D489" s="435">
        <f>C489</f>
        <v>14036</v>
      </c>
      <c r="E489"/>
      <c r="F489"/>
      <c r="G489"/>
      <c r="H489"/>
      <c r="I489"/>
      <c r="J489"/>
      <c r="K489"/>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row>
    <row r="490" spans="1:56" ht="11.1" customHeight="1" x14ac:dyDescent="0.2">
      <c r="A490" s="1"/>
      <c r="B490" s="1"/>
      <c r="C490" s="410"/>
      <c r="D490" s="433"/>
      <c r="E490"/>
      <c r="F490"/>
      <c r="G490"/>
      <c r="H490"/>
      <c r="I490"/>
      <c r="J490"/>
      <c r="K490"/>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row>
    <row r="491" spans="1:56" ht="12" customHeight="1" x14ac:dyDescent="0.2">
      <c r="A491" s="6">
        <v>23</v>
      </c>
      <c r="B491" s="5" t="s">
        <v>242</v>
      </c>
      <c r="C491" s="412"/>
      <c r="D491" s="435"/>
      <c r="E491"/>
      <c r="F491"/>
      <c r="G491"/>
      <c r="H491"/>
      <c r="I491"/>
      <c r="J491"/>
      <c r="K491"/>
      <c r="L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row>
    <row r="492" spans="1:56" ht="12" customHeight="1" x14ac:dyDescent="0.2">
      <c r="A492" s="6">
        <v>23.1</v>
      </c>
      <c r="B492" s="7" t="s">
        <v>243</v>
      </c>
      <c r="C492" s="413"/>
      <c r="D492" s="436"/>
      <c r="E492"/>
      <c r="F492"/>
      <c r="G492"/>
      <c r="H492"/>
      <c r="I492"/>
      <c r="J492"/>
      <c r="K492"/>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row>
    <row r="493" spans="1:56" ht="63" customHeight="1" x14ac:dyDescent="0.2">
      <c r="A493" s="1"/>
      <c r="B493" s="8" t="s">
        <v>244</v>
      </c>
      <c r="C493" s="414">
        <f>I493*3</f>
        <v>303</v>
      </c>
      <c r="D493" s="438"/>
      <c r="E493"/>
      <c r="F493" s="425" t="s">
        <v>674</v>
      </c>
      <c r="G493">
        <v>50</v>
      </c>
      <c r="H493">
        <v>51</v>
      </c>
      <c r="I493">
        <f>G493+H493</f>
        <v>101</v>
      </c>
      <c r="J493"/>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row>
    <row r="494" spans="1:56" ht="11.1" customHeight="1" x14ac:dyDescent="0.2">
      <c r="A494" s="1"/>
      <c r="B494" s="1"/>
      <c r="C494" s="410"/>
      <c r="D494" s="433"/>
      <c r="E494"/>
      <c r="F494"/>
      <c r="G494"/>
      <c r="H494"/>
      <c r="I494"/>
      <c r="J494"/>
      <c r="K494"/>
      <c r="L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row>
    <row r="495" spans="1:56" ht="11.1" customHeight="1" x14ac:dyDescent="0.2">
      <c r="A495" s="6">
        <v>23.2</v>
      </c>
      <c r="B495" s="7" t="s">
        <v>245</v>
      </c>
      <c r="C495" s="413"/>
      <c r="D495" s="436"/>
      <c r="E495"/>
      <c r="F495"/>
      <c r="G495"/>
      <c r="H495"/>
      <c r="I495"/>
      <c r="J495"/>
      <c r="K495"/>
      <c r="L495"/>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row>
    <row r="496" spans="1:56" ht="63" customHeight="1" x14ac:dyDescent="0.2">
      <c r="A496" s="1"/>
      <c r="B496" s="8" t="s">
        <v>246</v>
      </c>
      <c r="C496" s="414">
        <f>60*I496</f>
        <v>4260</v>
      </c>
      <c r="D496" s="438"/>
      <c r="E496"/>
      <c r="F496" s="425" t="s">
        <v>664</v>
      </c>
      <c r="G496">
        <v>23</v>
      </c>
      <c r="H496">
        <v>48</v>
      </c>
      <c r="I496">
        <f>SUM(G496:H496)</f>
        <v>71</v>
      </c>
      <c r="J496"/>
      <c r="K496"/>
      <c r="L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row>
    <row r="497" spans="1:56" ht="11.1" customHeight="1" x14ac:dyDescent="0.2">
      <c r="A497" s="1"/>
      <c r="B497" s="1"/>
      <c r="C497" s="410"/>
      <c r="D497" s="433"/>
      <c r="E497"/>
      <c r="F497"/>
      <c r="G497"/>
      <c r="H497"/>
      <c r="I497"/>
      <c r="J497"/>
      <c r="K497"/>
      <c r="L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row>
    <row r="498" spans="1:56" ht="38.1" customHeight="1" x14ac:dyDescent="0.2">
      <c r="A498" s="1"/>
      <c r="B498" s="8" t="s">
        <v>247</v>
      </c>
      <c r="C498" s="414">
        <v>1110</v>
      </c>
      <c r="D498" s="438"/>
      <c r="E498"/>
      <c r="F498" s="425" t="s">
        <v>663</v>
      </c>
      <c r="G498"/>
      <c r="H498"/>
      <c r="I498"/>
      <c r="J498"/>
      <c r="K498"/>
      <c r="L498"/>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row>
    <row r="499" spans="1:56" ht="11.1" customHeight="1" x14ac:dyDescent="0.2">
      <c r="A499" s="1"/>
      <c r="B499" s="1"/>
      <c r="C499" s="410"/>
      <c r="D499" s="433"/>
      <c r="E499"/>
      <c r="F499"/>
      <c r="G499"/>
      <c r="H499"/>
      <c r="I499"/>
      <c r="J499"/>
      <c r="K499"/>
      <c r="L499"/>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row>
    <row r="500" spans="1:56" ht="12" customHeight="1" x14ac:dyDescent="0.2">
      <c r="A500" s="10">
        <v>23.3</v>
      </c>
      <c r="B500" s="7" t="s">
        <v>248</v>
      </c>
      <c r="C500" s="413"/>
      <c r="D500" s="436"/>
      <c r="E500"/>
      <c r="F500"/>
      <c r="G500"/>
      <c r="H500"/>
      <c r="I500"/>
      <c r="J500"/>
      <c r="K500"/>
      <c r="L500"/>
      <c r="M500"/>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row>
    <row r="501" spans="1:56" ht="39" customHeight="1" x14ac:dyDescent="0.2">
      <c r="A501" s="1"/>
      <c r="B501" s="8" t="s">
        <v>249</v>
      </c>
      <c r="C501" s="414">
        <f>J501*90</f>
        <v>5850</v>
      </c>
      <c r="D501" s="438"/>
      <c r="E501"/>
      <c r="F501" s="425" t="s">
        <v>666</v>
      </c>
      <c r="G501"/>
      <c r="H501">
        <v>50</v>
      </c>
      <c r="I501">
        <v>15</v>
      </c>
      <c r="J501">
        <f>H501+I501</f>
        <v>65</v>
      </c>
      <c r="K501"/>
      <c r="L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row>
    <row r="502" spans="1:56" ht="11.1" customHeight="1" x14ac:dyDescent="0.2">
      <c r="A502" s="1"/>
      <c r="B502" s="1"/>
      <c r="C502" s="410"/>
      <c r="D502" s="433"/>
      <c r="E502"/>
      <c r="F502"/>
      <c r="G502"/>
      <c r="H502"/>
      <c r="I502"/>
      <c r="J502"/>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row>
    <row r="503" spans="1:56" ht="12" customHeight="1" x14ac:dyDescent="0.2">
      <c r="A503" s="1"/>
      <c r="B503" s="8" t="s">
        <v>250</v>
      </c>
      <c r="C503" s="423" t="s">
        <v>599</v>
      </c>
      <c r="D503" s="440"/>
      <c r="E503"/>
      <c r="F503"/>
      <c r="G503"/>
      <c r="H503"/>
      <c r="I503"/>
      <c r="J503"/>
      <c r="K503"/>
      <c r="L503"/>
      <c r="M503"/>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row>
    <row r="504" spans="1:56" ht="11.1" customHeight="1" x14ac:dyDescent="0.2">
      <c r="A504" s="1"/>
      <c r="B504" s="1"/>
      <c r="C504" s="410"/>
      <c r="D504" s="433"/>
      <c r="E504"/>
      <c r="F504"/>
      <c r="G504"/>
      <c r="H504"/>
      <c r="I504"/>
      <c r="J504"/>
      <c r="K504"/>
      <c r="L504"/>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row>
    <row r="505" spans="1:56" ht="12" customHeight="1" x14ac:dyDescent="0.2">
      <c r="A505" s="10">
        <v>23.4</v>
      </c>
      <c r="B505" s="7" t="s">
        <v>251</v>
      </c>
      <c r="C505" s="413"/>
      <c r="D505" s="436"/>
      <c r="E505"/>
      <c r="F505"/>
      <c r="G505"/>
      <c r="H505"/>
      <c r="I505"/>
      <c r="J505"/>
      <c r="K505"/>
      <c r="L505"/>
      <c r="M505"/>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row>
    <row r="506" spans="1:56" ht="63" customHeight="1" x14ac:dyDescent="0.2">
      <c r="A506" s="1"/>
      <c r="B506" s="8" t="s">
        <v>252</v>
      </c>
      <c r="C506" s="414">
        <f>75*32</f>
        <v>2400</v>
      </c>
      <c r="D506" s="438"/>
      <c r="E506"/>
      <c r="F506" s="425" t="s">
        <v>675</v>
      </c>
      <c r="G506">
        <v>50</v>
      </c>
      <c r="H506">
        <v>25</v>
      </c>
      <c r="I506"/>
      <c r="J506"/>
      <c r="K506"/>
      <c r="L506"/>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row>
    <row r="507" spans="1:56" ht="11.1" customHeight="1" x14ac:dyDescent="0.2">
      <c r="A507" s="1"/>
      <c r="B507" s="1"/>
      <c r="C507" s="410"/>
      <c r="D507" s="433"/>
      <c r="E507"/>
      <c r="F507"/>
      <c r="G507"/>
      <c r="H507"/>
      <c r="I507"/>
      <c r="J507"/>
      <c r="K507"/>
      <c r="L507"/>
      <c r="M507"/>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row>
    <row r="508" spans="1:56" ht="12" customHeight="1" x14ac:dyDescent="0.2">
      <c r="A508" s="1"/>
      <c r="B508" s="8" t="s">
        <v>253</v>
      </c>
      <c r="C508" s="423" t="s">
        <v>599</v>
      </c>
      <c r="D508" s="440"/>
      <c r="E508"/>
      <c r="F508"/>
      <c r="G508"/>
      <c r="H508"/>
      <c r="I508"/>
      <c r="J508"/>
      <c r="K508"/>
      <c r="L508"/>
      <c r="M508"/>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row>
    <row r="509" spans="1:56" ht="11.1" customHeight="1" x14ac:dyDescent="0.2">
      <c r="A509" s="1"/>
      <c r="B509" s="1"/>
      <c r="C509" s="410"/>
      <c r="D509" s="433"/>
      <c r="E509"/>
      <c r="F509"/>
      <c r="G509"/>
      <c r="H509"/>
      <c r="I509"/>
      <c r="J509"/>
      <c r="K509"/>
      <c r="L509"/>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row>
    <row r="510" spans="1:56" ht="12" customHeight="1" x14ac:dyDescent="0.2">
      <c r="A510" s="1"/>
      <c r="B510" s="5" t="s">
        <v>66</v>
      </c>
      <c r="C510" s="412">
        <f>SUM(C492:C509)</f>
        <v>13923</v>
      </c>
      <c r="D510" s="435">
        <f>C510</f>
        <v>13923</v>
      </c>
      <c r="E510"/>
      <c r="F510"/>
      <c r="G510"/>
      <c r="H510"/>
      <c r="I510"/>
      <c r="J510"/>
      <c r="K510"/>
      <c r="L510"/>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row>
    <row r="511" spans="1:56" ht="12" customHeight="1" x14ac:dyDescent="0.2">
      <c r="A511" s="1"/>
      <c r="B511" s="5"/>
      <c r="C511" s="412"/>
      <c r="D511" s="435"/>
      <c r="E511"/>
      <c r="F511"/>
      <c r="G511"/>
      <c r="H511"/>
      <c r="I511"/>
      <c r="J511"/>
      <c r="K511"/>
      <c r="L511"/>
      <c r="M511"/>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row>
    <row r="512" spans="1:56" ht="12" customHeight="1" x14ac:dyDescent="0.2">
      <c r="A512" s="6">
        <v>24</v>
      </c>
      <c r="B512" s="5" t="s">
        <v>254</v>
      </c>
      <c r="C512" s="412"/>
      <c r="D512" s="435"/>
      <c r="E512"/>
      <c r="F512"/>
      <c r="G512"/>
      <c r="H512"/>
      <c r="I512"/>
      <c r="J512"/>
      <c r="K512"/>
      <c r="L512"/>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row>
    <row r="513" spans="1:56" ht="12" customHeight="1" x14ac:dyDescent="0.2">
      <c r="A513" s="10">
        <v>24.1</v>
      </c>
      <c r="B513" s="7" t="s">
        <v>255</v>
      </c>
      <c r="C513" s="413"/>
      <c r="D513" s="436"/>
      <c r="E513"/>
      <c r="F513"/>
      <c r="G513"/>
      <c r="H513"/>
      <c r="I513"/>
      <c r="J513"/>
      <c r="K513"/>
      <c r="L513"/>
      <c r="M513"/>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row>
    <row r="514" spans="1:56" ht="24.95" customHeight="1" x14ac:dyDescent="0.2">
      <c r="A514" s="1"/>
      <c r="B514" s="8" t="s">
        <v>256</v>
      </c>
      <c r="C514" s="414">
        <f>F514*12</f>
        <v>6036</v>
      </c>
      <c r="D514" s="438"/>
      <c r="E514"/>
      <c r="F514">
        <v>503</v>
      </c>
      <c r="G514">
        <v>11</v>
      </c>
      <c r="H514"/>
      <c r="I514"/>
      <c r="J514"/>
      <c r="K514"/>
      <c r="L514"/>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row>
    <row r="515" spans="1:56" ht="11.1" customHeight="1" x14ac:dyDescent="0.2">
      <c r="A515" s="1"/>
      <c r="B515" s="1"/>
      <c r="C515" s="410"/>
      <c r="D515" s="433"/>
      <c r="E515"/>
      <c r="F515"/>
      <c r="G515"/>
      <c r="H515"/>
      <c r="I515"/>
      <c r="J515"/>
      <c r="K515"/>
      <c r="L515"/>
      <c r="M515"/>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row>
    <row r="516" spans="1:56" ht="12" customHeight="1" x14ac:dyDescent="0.2">
      <c r="A516" s="10">
        <v>24.2</v>
      </c>
      <c r="B516" s="7" t="s">
        <v>257</v>
      </c>
      <c r="C516" s="413"/>
      <c r="D516" s="436"/>
      <c r="E516"/>
      <c r="F516"/>
      <c r="G516"/>
      <c r="H516"/>
      <c r="I516"/>
      <c r="J516"/>
      <c r="K516"/>
      <c r="L516"/>
      <c r="M516"/>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row>
    <row r="517" spans="1:56" ht="24.95" customHeight="1" x14ac:dyDescent="0.2">
      <c r="A517" s="1"/>
      <c r="B517" s="8" t="s">
        <v>256</v>
      </c>
      <c r="C517" s="414">
        <f>F517*G517</f>
        <v>2040</v>
      </c>
      <c r="D517" s="438"/>
      <c r="E517"/>
      <c r="F517">
        <v>170</v>
      </c>
      <c r="G517">
        <v>12</v>
      </c>
      <c r="H517"/>
      <c r="I517"/>
      <c r="J517"/>
      <c r="K517"/>
      <c r="L517"/>
      <c r="M517"/>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row>
    <row r="518" spans="1:56" ht="11.1" customHeight="1" x14ac:dyDescent="0.2">
      <c r="A518" s="1"/>
      <c r="B518" s="1"/>
      <c r="C518" s="410"/>
      <c r="D518" s="433"/>
      <c r="E518"/>
      <c r="F518"/>
      <c r="G518"/>
      <c r="H518"/>
      <c r="I518"/>
      <c r="J518"/>
      <c r="K518"/>
      <c r="L518"/>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row>
    <row r="519" spans="1:56" ht="12" customHeight="1" x14ac:dyDescent="0.2">
      <c r="A519" s="10">
        <v>24.3</v>
      </c>
      <c r="B519" s="7" t="s">
        <v>258</v>
      </c>
      <c r="C519" s="413"/>
      <c r="D519" s="436"/>
      <c r="E519"/>
      <c r="F519"/>
      <c r="G519"/>
      <c r="H519"/>
      <c r="I519"/>
      <c r="J519"/>
      <c r="K519"/>
      <c r="L519"/>
      <c r="M519"/>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row>
    <row r="520" spans="1:56" ht="24.95" customHeight="1" x14ac:dyDescent="0.2">
      <c r="A520" s="1"/>
      <c r="B520" s="8" t="s">
        <v>259</v>
      </c>
      <c r="C520" s="414">
        <v>2800</v>
      </c>
      <c r="D520" s="438"/>
      <c r="E520"/>
      <c r="F520"/>
      <c r="G520"/>
      <c r="H520"/>
      <c r="I520"/>
      <c r="J520"/>
      <c r="K520"/>
      <c r="L520"/>
      <c r="M520"/>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row>
    <row r="521" spans="1:56" ht="11.1" customHeight="1" x14ac:dyDescent="0.2">
      <c r="A521" s="1"/>
      <c r="B521" s="1"/>
      <c r="C521" s="410"/>
      <c r="D521" s="433"/>
      <c r="E521"/>
      <c r="F521"/>
      <c r="G521"/>
      <c r="H521"/>
      <c r="I521"/>
      <c r="J521"/>
      <c r="K521"/>
      <c r="L521"/>
      <c r="M521"/>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row>
    <row r="522" spans="1:56" ht="12" customHeight="1" x14ac:dyDescent="0.2">
      <c r="A522" s="1"/>
      <c r="B522" s="5" t="s">
        <v>66</v>
      </c>
      <c r="C522" s="412">
        <f>SUM(C514:C521)</f>
        <v>10876</v>
      </c>
      <c r="D522" s="435">
        <f>C522</f>
        <v>10876</v>
      </c>
      <c r="E522"/>
      <c r="F522"/>
      <c r="G522"/>
      <c r="H522"/>
      <c r="I522"/>
      <c r="J522"/>
      <c r="K522"/>
      <c r="L522"/>
      <c r="M522"/>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row>
    <row r="523" spans="1:56" ht="11.1" customHeight="1" x14ac:dyDescent="0.2">
      <c r="A523" s="1"/>
      <c r="B523" s="1"/>
      <c r="C523" s="410"/>
      <c r="D523" s="433"/>
      <c r="E523"/>
      <c r="F523"/>
      <c r="G523"/>
      <c r="H523"/>
      <c r="I523"/>
      <c r="J523"/>
      <c r="K523"/>
      <c r="L523"/>
      <c r="M523"/>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row>
    <row r="524" spans="1:56" ht="12" customHeight="1" x14ac:dyDescent="0.2">
      <c r="A524" s="6">
        <v>25</v>
      </c>
      <c r="B524" s="5" t="s">
        <v>260</v>
      </c>
      <c r="C524" s="412"/>
      <c r="D524" s="435"/>
      <c r="E524"/>
      <c r="F524"/>
      <c r="G524"/>
      <c r="H524"/>
      <c r="I524"/>
      <c r="J524"/>
      <c r="K524"/>
      <c r="L524"/>
      <c r="M524"/>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row>
    <row r="525" spans="1:56" ht="51" customHeight="1" x14ac:dyDescent="0.2">
      <c r="A525" s="1"/>
      <c r="B525" s="8" t="s">
        <v>261</v>
      </c>
      <c r="C525" s="414">
        <v>3020</v>
      </c>
      <c r="D525" s="438"/>
      <c r="E525" s="425" t="s">
        <v>676</v>
      </c>
      <c r="F525"/>
      <c r="G525"/>
      <c r="H525"/>
      <c r="I525"/>
      <c r="J525"/>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row>
    <row r="526" spans="1:56" ht="11.1" customHeight="1" x14ac:dyDescent="0.2">
      <c r="A526" s="1"/>
      <c r="B526" s="1"/>
      <c r="C526" s="410"/>
      <c r="D526" s="433"/>
      <c r="E526"/>
      <c r="F526"/>
      <c r="G526"/>
      <c r="H526"/>
      <c r="I526"/>
      <c r="J526"/>
      <c r="K526"/>
      <c r="L526"/>
      <c r="M526"/>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row>
    <row r="527" spans="1:56" ht="12" customHeight="1" x14ac:dyDescent="0.2">
      <c r="A527" s="1"/>
      <c r="B527" s="5" t="s">
        <v>66</v>
      </c>
      <c r="C527" s="412">
        <f>SUM(C525:C526)</f>
        <v>3020</v>
      </c>
      <c r="D527" s="435">
        <f>C527</f>
        <v>3020</v>
      </c>
      <c r="E527"/>
      <c r="F527"/>
      <c r="G527"/>
      <c r="H527"/>
      <c r="I527"/>
      <c r="J527"/>
      <c r="K527"/>
      <c r="L527"/>
      <c r="M527"/>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row>
    <row r="528" spans="1:56" ht="11.1" customHeight="1" x14ac:dyDescent="0.2">
      <c r="A528" s="1"/>
      <c r="B528" s="1"/>
      <c r="C528" s="410"/>
      <c r="D528" s="433"/>
      <c r="E528"/>
      <c r="F528"/>
      <c r="G528"/>
      <c r="H528"/>
      <c r="I528"/>
      <c r="J528"/>
      <c r="K528"/>
      <c r="L528"/>
      <c r="M528"/>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row>
    <row r="529" spans="1:56" ht="12" customHeight="1" x14ac:dyDescent="0.2">
      <c r="A529" s="6">
        <v>26</v>
      </c>
      <c r="B529" s="5" t="s">
        <v>262</v>
      </c>
      <c r="C529" s="412"/>
      <c r="D529" s="435"/>
      <c r="E529"/>
      <c r="F529"/>
      <c r="G529"/>
      <c r="H529"/>
      <c r="I529"/>
      <c r="J529"/>
      <c r="K529"/>
      <c r="L529"/>
      <c r="M529"/>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row>
    <row r="530" spans="1:56" ht="12" customHeight="1" x14ac:dyDescent="0.2">
      <c r="A530" s="6">
        <v>26.1</v>
      </c>
      <c r="B530" s="5" t="s">
        <v>263</v>
      </c>
      <c r="C530" s="412"/>
      <c r="D530" s="435"/>
      <c r="E530"/>
      <c r="F530"/>
      <c r="G530"/>
      <c r="H530"/>
      <c r="I530"/>
      <c r="J530"/>
      <c r="K530"/>
      <c r="L530"/>
      <c r="M530"/>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row>
    <row r="531" spans="1:56" ht="63" customHeight="1" x14ac:dyDescent="0.2">
      <c r="A531" s="1"/>
      <c r="B531" s="8" t="s">
        <v>264</v>
      </c>
      <c r="C531" s="414"/>
      <c r="D531" s="438"/>
      <c r="E531"/>
      <c r="F531"/>
      <c r="G531"/>
      <c r="H531"/>
      <c r="I531"/>
      <c r="J531"/>
      <c r="K531"/>
      <c r="L531"/>
      <c r="M531"/>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row>
    <row r="532" spans="1:56" ht="11.1" customHeight="1" x14ac:dyDescent="0.2">
      <c r="A532" s="1"/>
      <c r="B532" s="1"/>
      <c r="C532" s="410"/>
      <c r="D532" s="433"/>
      <c r="E532"/>
      <c r="F532"/>
      <c r="G532"/>
      <c r="H532"/>
      <c r="I532"/>
      <c r="J532"/>
      <c r="K532"/>
      <c r="L532"/>
      <c r="M532"/>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row>
    <row r="533" spans="1:56" ht="63" customHeight="1" x14ac:dyDescent="0.2">
      <c r="A533" s="1"/>
      <c r="B533" s="8" t="s">
        <v>265</v>
      </c>
      <c r="C533" s="423" t="s">
        <v>677</v>
      </c>
      <c r="D533" s="440"/>
      <c r="E533"/>
      <c r="F533"/>
      <c r="G533"/>
      <c r="H533"/>
      <c r="I533"/>
      <c r="J533"/>
      <c r="K533"/>
      <c r="L533"/>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row>
    <row r="534" spans="1:56" ht="11.1" customHeight="1" x14ac:dyDescent="0.2">
      <c r="A534" s="1"/>
      <c r="B534" s="1"/>
      <c r="C534" s="410"/>
      <c r="D534" s="433"/>
      <c r="E534"/>
      <c r="F534"/>
      <c r="G534"/>
      <c r="H534"/>
      <c r="I534"/>
      <c r="J534"/>
      <c r="K534"/>
      <c r="L534"/>
      <c r="M534"/>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row>
    <row r="535" spans="1:56" ht="12" customHeight="1" x14ac:dyDescent="0.2">
      <c r="A535" s="1"/>
      <c r="B535" s="8" t="s">
        <v>266</v>
      </c>
      <c r="C535" s="414"/>
      <c r="D535" s="438"/>
      <c r="E535"/>
      <c r="F535"/>
      <c r="G535"/>
      <c r="H535"/>
      <c r="I535"/>
      <c r="J535"/>
      <c r="K535"/>
      <c r="L535"/>
      <c r="M535"/>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row>
    <row r="536" spans="1:56" ht="12.95" customHeight="1" x14ac:dyDescent="0.2">
      <c r="A536" s="1"/>
      <c r="B536" s="8" t="s">
        <v>267</v>
      </c>
      <c r="C536" s="423" t="s">
        <v>599</v>
      </c>
      <c r="D536" s="440"/>
      <c r="E536"/>
      <c r="F536"/>
      <c r="G536"/>
      <c r="H536"/>
      <c r="I536"/>
      <c r="J536"/>
      <c r="K536"/>
      <c r="L536"/>
      <c r="M536"/>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row>
    <row r="537" spans="1:56" ht="24.95" customHeight="1" x14ac:dyDescent="0.2">
      <c r="A537" s="1"/>
      <c r="B537" s="8" t="s">
        <v>268</v>
      </c>
      <c r="C537" s="423" t="s">
        <v>599</v>
      </c>
      <c r="D537" s="440"/>
      <c r="E537"/>
      <c r="F537"/>
      <c r="G537"/>
      <c r="H537"/>
      <c r="I537"/>
      <c r="J537"/>
      <c r="K537"/>
      <c r="L537"/>
      <c r="M537"/>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row>
    <row r="538" spans="1:56" ht="12" customHeight="1" x14ac:dyDescent="0.2">
      <c r="A538" s="1"/>
      <c r="B538" s="8" t="s">
        <v>269</v>
      </c>
      <c r="C538" s="423" t="s">
        <v>678</v>
      </c>
      <c r="D538" s="440"/>
      <c r="E538"/>
      <c r="F538"/>
      <c r="G538"/>
      <c r="H538"/>
      <c r="I538"/>
      <c r="J538"/>
      <c r="K538"/>
      <c r="L538"/>
      <c r="M538"/>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row>
    <row r="539" spans="1:56" ht="11.1" customHeight="1" x14ac:dyDescent="0.2">
      <c r="A539" s="1"/>
      <c r="B539" s="1"/>
      <c r="C539" s="410"/>
      <c r="D539" s="433"/>
      <c r="E539"/>
      <c r="F539"/>
      <c r="G539"/>
      <c r="H539"/>
      <c r="I539"/>
      <c r="J539"/>
      <c r="K539"/>
      <c r="L539"/>
      <c r="M539"/>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row>
    <row r="540" spans="1:56" ht="38.25" customHeight="1" x14ac:dyDescent="0.2">
      <c r="A540" s="1"/>
      <c r="B540" s="8" t="s">
        <v>270</v>
      </c>
      <c r="C540" s="414"/>
      <c r="D540" s="438"/>
      <c r="E540"/>
      <c r="F540"/>
      <c r="G540"/>
      <c r="H540"/>
      <c r="I540"/>
      <c r="J540"/>
      <c r="K540"/>
      <c r="L540"/>
      <c r="M540"/>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row>
    <row r="541" spans="1:56" ht="11.1" customHeight="1" x14ac:dyDescent="0.2">
      <c r="A541" s="1"/>
      <c r="B541" s="1"/>
      <c r="C541" s="410"/>
      <c r="D541" s="433"/>
      <c r="E541"/>
      <c r="F541"/>
      <c r="G541"/>
      <c r="H541"/>
      <c r="I541"/>
      <c r="J541"/>
      <c r="K541"/>
      <c r="L541"/>
      <c r="M541"/>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row>
    <row r="542" spans="1:56" ht="17.25" customHeight="1" x14ac:dyDescent="0.2">
      <c r="A542" s="1"/>
      <c r="B542" s="8" t="s">
        <v>271</v>
      </c>
      <c r="C542" s="423" t="s">
        <v>599</v>
      </c>
      <c r="D542" s="440"/>
      <c r="E542"/>
      <c r="F542"/>
      <c r="G542"/>
      <c r="H542"/>
      <c r="I542"/>
      <c r="J542"/>
      <c r="K542"/>
      <c r="L542"/>
      <c r="M542"/>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row>
    <row r="543" spans="1:56" ht="11.1" customHeight="1" x14ac:dyDescent="0.2">
      <c r="A543" s="1"/>
      <c r="B543" s="1"/>
      <c r="C543" s="410"/>
      <c r="D543" s="433"/>
      <c r="E543"/>
      <c r="F543"/>
      <c r="G543"/>
      <c r="H543"/>
      <c r="I543"/>
      <c r="J543"/>
      <c r="K543"/>
      <c r="L543"/>
      <c r="M543"/>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row>
    <row r="544" spans="1:56" ht="12" customHeight="1" x14ac:dyDescent="0.2">
      <c r="A544" s="6">
        <v>27</v>
      </c>
      <c r="B544" s="5" t="s">
        <v>272</v>
      </c>
      <c r="C544" s="412"/>
      <c r="D544" s="435"/>
      <c r="E544"/>
      <c r="F544"/>
      <c r="G544"/>
      <c r="H544"/>
      <c r="I544"/>
      <c r="J544"/>
      <c r="K544"/>
      <c r="L544"/>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row>
    <row r="545" spans="1:56" ht="24.95" customHeight="1" x14ac:dyDescent="0.2">
      <c r="A545" s="1"/>
      <c r="B545" s="8" t="s">
        <v>273</v>
      </c>
      <c r="C545" s="423" t="s">
        <v>679</v>
      </c>
      <c r="D545" s="440"/>
      <c r="E545"/>
      <c r="F545"/>
      <c r="G545"/>
      <c r="H545"/>
      <c r="I545"/>
      <c r="J545"/>
      <c r="K545"/>
      <c r="L545"/>
      <c r="M545"/>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row>
    <row r="546" spans="1:56" ht="24.95" customHeight="1" x14ac:dyDescent="0.2">
      <c r="A546" s="1"/>
      <c r="B546" s="8" t="s">
        <v>274</v>
      </c>
      <c r="C546" s="423" t="s">
        <v>679</v>
      </c>
      <c r="D546" s="440"/>
      <c r="E546"/>
      <c r="F546"/>
      <c r="G546"/>
      <c r="H546"/>
      <c r="I546"/>
      <c r="J546"/>
      <c r="K546"/>
      <c r="L546"/>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row>
    <row r="547" spans="1:56" ht="24.95" customHeight="1" x14ac:dyDescent="0.2">
      <c r="A547" s="1"/>
      <c r="B547" s="8" t="s">
        <v>275</v>
      </c>
      <c r="C547" s="423" t="s">
        <v>679</v>
      </c>
      <c r="D547" s="440"/>
      <c r="E547"/>
      <c r="F547"/>
      <c r="G547"/>
      <c r="H547"/>
      <c r="I547"/>
      <c r="J547"/>
      <c r="K547"/>
      <c r="L547"/>
      <c r="M547"/>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row>
    <row r="548" spans="1:56" ht="24.95" customHeight="1" x14ac:dyDescent="0.2">
      <c r="A548" s="1"/>
      <c r="B548" s="8" t="s">
        <v>276</v>
      </c>
      <c r="C548" s="423" t="s">
        <v>679</v>
      </c>
      <c r="D548" s="440"/>
      <c r="E548"/>
      <c r="F548"/>
      <c r="G548"/>
      <c r="H548"/>
      <c r="I548"/>
      <c r="J548"/>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row>
    <row r="549" spans="1:56" ht="12" customHeight="1" x14ac:dyDescent="0.2">
      <c r="A549" s="1"/>
      <c r="B549" s="8" t="s">
        <v>277</v>
      </c>
      <c r="C549" s="423" t="s">
        <v>679</v>
      </c>
      <c r="D549" s="440"/>
      <c r="E549"/>
      <c r="F549"/>
      <c r="G549"/>
      <c r="H549"/>
      <c r="I549"/>
      <c r="J549"/>
      <c r="K549"/>
      <c r="L549"/>
      <c r="M549"/>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row>
    <row r="550" spans="1:56" ht="11.1" customHeight="1" x14ac:dyDescent="0.2">
      <c r="A550" s="1"/>
      <c r="B550" s="1"/>
      <c r="C550" s="410"/>
      <c r="D550" s="433"/>
      <c r="E550"/>
      <c r="F550"/>
      <c r="G550"/>
      <c r="H550"/>
      <c r="I550"/>
      <c r="J550"/>
      <c r="K550"/>
      <c r="L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row>
    <row r="551" spans="1:56" ht="26.1" customHeight="1" x14ac:dyDescent="0.2">
      <c r="A551" s="1"/>
      <c r="B551" s="8" t="s">
        <v>278</v>
      </c>
      <c r="C551" s="423" t="s">
        <v>680</v>
      </c>
      <c r="D551" s="440"/>
      <c r="E551"/>
      <c r="F551"/>
      <c r="G551"/>
      <c r="H551"/>
      <c r="I551"/>
      <c r="J551"/>
      <c r="K551"/>
      <c r="L551"/>
      <c r="M551"/>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row>
    <row r="552" spans="1:56" ht="11.1" customHeight="1" x14ac:dyDescent="0.2">
      <c r="A552" s="1"/>
      <c r="B552" s="1"/>
      <c r="C552" s="410"/>
      <c r="D552" s="433"/>
      <c r="E552"/>
      <c r="F552"/>
      <c r="G552"/>
      <c r="H552"/>
      <c r="I552"/>
      <c r="J552"/>
      <c r="K552"/>
      <c r="L552"/>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row>
    <row r="553" spans="1:56" ht="12" customHeight="1" x14ac:dyDescent="0.2">
      <c r="A553" s="6">
        <v>28</v>
      </c>
      <c r="B553" s="5" t="s">
        <v>279</v>
      </c>
      <c r="C553" s="412"/>
      <c r="D553" s="435"/>
      <c r="E553"/>
      <c r="F553"/>
      <c r="G553"/>
      <c r="H553"/>
      <c r="I553"/>
      <c r="J553"/>
      <c r="K553"/>
      <c r="L553"/>
      <c r="M553"/>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row>
    <row r="554" spans="1:56" ht="39" customHeight="1" x14ac:dyDescent="0.2">
      <c r="A554" s="1"/>
      <c r="B554" s="8" t="s">
        <v>280</v>
      </c>
      <c r="C554" s="414"/>
      <c r="D554" s="438"/>
      <c r="E554"/>
      <c r="F554"/>
      <c r="G554"/>
      <c r="H554"/>
      <c r="I554"/>
      <c r="J554"/>
      <c r="K554"/>
      <c r="L554"/>
      <c r="M554"/>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row>
    <row r="555" spans="1:56" ht="11.1" customHeight="1" x14ac:dyDescent="0.2">
      <c r="A555" s="1"/>
      <c r="B555" s="1"/>
      <c r="C555" s="410"/>
      <c r="D555" s="433"/>
      <c r="E555"/>
      <c r="F555"/>
      <c r="G555"/>
      <c r="H555"/>
      <c r="I555"/>
      <c r="J555"/>
      <c r="K555"/>
      <c r="L555"/>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row>
    <row r="556" spans="1:56" ht="12" customHeight="1" x14ac:dyDescent="0.2">
      <c r="A556" s="6">
        <v>28.1</v>
      </c>
      <c r="B556" s="7" t="s">
        <v>281</v>
      </c>
      <c r="C556" s="413"/>
      <c r="D556" s="436"/>
      <c r="E556"/>
      <c r="F556"/>
      <c r="G556"/>
      <c r="H556"/>
      <c r="I556"/>
      <c r="J556"/>
      <c r="K556"/>
      <c r="L556"/>
      <c r="M556"/>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row>
    <row r="557" spans="1:56" ht="51" customHeight="1" x14ac:dyDescent="0.2">
      <c r="A557" s="1"/>
      <c r="B557" s="8" t="s">
        <v>282</v>
      </c>
      <c r="C557" s="414"/>
      <c r="D557" s="438"/>
      <c r="E557"/>
      <c r="F557"/>
      <c r="G557"/>
      <c r="H557"/>
      <c r="I557"/>
      <c r="J557"/>
      <c r="K557"/>
      <c r="L557"/>
      <c r="M557"/>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row>
    <row r="558" spans="1:56" ht="11.1" customHeight="1" x14ac:dyDescent="0.2">
      <c r="A558" s="1"/>
      <c r="B558" s="1"/>
      <c r="C558" s="410"/>
      <c r="D558" s="433"/>
      <c r="E558"/>
      <c r="F558"/>
      <c r="G558"/>
      <c r="H558"/>
      <c r="I558"/>
      <c r="J558"/>
      <c r="K558"/>
      <c r="L558"/>
      <c r="M558"/>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row>
    <row r="559" spans="1:56" ht="75.95" customHeight="1" x14ac:dyDescent="0.2">
      <c r="A559" s="1"/>
      <c r="B559" s="1" t="s">
        <v>283</v>
      </c>
      <c r="C559" s="410"/>
      <c r="D559" s="433"/>
      <c r="E559"/>
      <c r="F559"/>
      <c r="G559"/>
      <c r="H559"/>
      <c r="I559"/>
      <c r="J559"/>
      <c r="K559"/>
      <c r="L559"/>
      <c r="M559"/>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row>
    <row r="560" spans="1:56" ht="11.1" customHeight="1" x14ac:dyDescent="0.2">
      <c r="A560" s="1"/>
      <c r="B560" s="1"/>
      <c r="C560" s="410"/>
      <c r="D560" s="433"/>
      <c r="E560"/>
      <c r="F560"/>
      <c r="G560"/>
      <c r="H560"/>
      <c r="I560"/>
      <c r="J560"/>
      <c r="K560"/>
      <c r="L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row>
    <row r="561" spans="1:56" ht="12" customHeight="1" x14ac:dyDescent="0.2">
      <c r="A561" s="6">
        <v>28.2</v>
      </c>
      <c r="B561" s="7" t="s">
        <v>284</v>
      </c>
      <c r="C561" s="413"/>
      <c r="D561" s="436"/>
      <c r="E561"/>
      <c r="F561"/>
      <c r="G561"/>
      <c r="H561"/>
      <c r="I561"/>
      <c r="J561"/>
      <c r="K561"/>
      <c r="L561"/>
      <c r="M561"/>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row>
    <row r="562" spans="1:56" ht="74.25" customHeight="1" x14ac:dyDescent="0.2">
      <c r="A562" s="1"/>
      <c r="B562" s="8" t="s">
        <v>285</v>
      </c>
      <c r="C562" s="414">
        <f>Measure!H51</f>
        <v>25160</v>
      </c>
      <c r="D562" s="438"/>
      <c r="E562"/>
      <c r="F562"/>
      <c r="G562"/>
      <c r="H562"/>
      <c r="I562"/>
      <c r="J562"/>
      <c r="K562"/>
      <c r="L562"/>
      <c r="M562"/>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row>
    <row r="563" spans="1:56" ht="11.1" customHeight="1" x14ac:dyDescent="0.2">
      <c r="A563" s="1"/>
      <c r="B563" s="1"/>
      <c r="C563" s="410"/>
      <c r="D563" s="433"/>
      <c r="E563"/>
      <c r="F563"/>
      <c r="G563"/>
      <c r="H563"/>
      <c r="I563"/>
      <c r="J563"/>
      <c r="K563"/>
      <c r="L563"/>
      <c r="M563"/>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row>
    <row r="564" spans="1:56" ht="38.1" customHeight="1" x14ac:dyDescent="0.2">
      <c r="A564" s="1"/>
      <c r="B564" s="8" t="s">
        <v>286</v>
      </c>
      <c r="C564" s="423" t="s">
        <v>599</v>
      </c>
      <c r="D564" s="440"/>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row>
    <row r="565" spans="1:56" ht="11.1" customHeight="1" x14ac:dyDescent="0.2">
      <c r="A565" s="1"/>
      <c r="B565" s="1"/>
      <c r="C565" s="410"/>
      <c r="D565" s="433"/>
      <c r="E565"/>
      <c r="F565"/>
      <c r="G565"/>
      <c r="H565"/>
      <c r="I565"/>
      <c r="J565"/>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row>
    <row r="566" spans="1:56" ht="63" customHeight="1" x14ac:dyDescent="0.2">
      <c r="A566" s="1"/>
      <c r="B566" s="8" t="s">
        <v>287</v>
      </c>
      <c r="C566" s="423" t="s">
        <v>599</v>
      </c>
      <c r="D566" s="440"/>
      <c r="E566"/>
      <c r="F566"/>
      <c r="G566"/>
      <c r="H566"/>
      <c r="I566"/>
      <c r="J566"/>
      <c r="K566"/>
      <c r="L566"/>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row>
    <row r="567" spans="1:56" ht="11.1" customHeight="1" x14ac:dyDescent="0.2">
      <c r="A567" s="1"/>
      <c r="B567" s="1"/>
      <c r="C567" s="410"/>
      <c r="D567" s="433"/>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row>
    <row r="568" spans="1:56" ht="24.95" customHeight="1" x14ac:dyDescent="0.2">
      <c r="A568" s="1"/>
      <c r="B568" s="8" t="s">
        <v>288</v>
      </c>
      <c r="C568" s="423" t="s">
        <v>599</v>
      </c>
      <c r="D568" s="440"/>
      <c r="E568"/>
      <c r="F568"/>
      <c r="G568"/>
      <c r="H568"/>
      <c r="I568"/>
      <c r="J568"/>
      <c r="K568"/>
      <c r="L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row>
    <row r="569" spans="1:56" ht="11.1" customHeight="1" x14ac:dyDescent="0.2">
      <c r="A569" s="1"/>
      <c r="B569" s="1"/>
      <c r="C569" s="410"/>
      <c r="D569" s="433"/>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row>
    <row r="570" spans="1:56" ht="12" customHeight="1" x14ac:dyDescent="0.2">
      <c r="A570" s="6">
        <v>28.3</v>
      </c>
      <c r="B570" s="7" t="s">
        <v>289</v>
      </c>
      <c r="C570" s="413"/>
      <c r="D570" s="436"/>
      <c r="E570"/>
      <c r="F570"/>
      <c r="G570"/>
      <c r="H570"/>
      <c r="I570"/>
      <c r="J570"/>
      <c r="K570"/>
      <c r="L570"/>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row>
    <row r="571" spans="1:56" ht="33.950000000000003" customHeight="1" x14ac:dyDescent="0.2">
      <c r="A571" s="1"/>
      <c r="B571" s="1" t="s">
        <v>290</v>
      </c>
      <c r="C571" s="423" t="s">
        <v>599</v>
      </c>
      <c r="D571" s="440"/>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row>
    <row r="572" spans="1:56" ht="11.1" customHeight="1" x14ac:dyDescent="0.2">
      <c r="A572" s="1"/>
      <c r="B572" s="1"/>
      <c r="C572" s="410"/>
      <c r="D572" s="433"/>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row>
    <row r="573" spans="1:56" ht="63" customHeight="1" x14ac:dyDescent="0.2">
      <c r="A573" s="1"/>
      <c r="B573" s="8" t="s">
        <v>291</v>
      </c>
      <c r="C573" s="423" t="s">
        <v>599</v>
      </c>
      <c r="D573" s="440"/>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row>
    <row r="574" spans="1:56" ht="11.1" customHeight="1" x14ac:dyDescent="0.2">
      <c r="A574" s="1"/>
      <c r="B574" s="1"/>
      <c r="C574" s="410"/>
      <c r="D574" s="433"/>
      <c r="E574"/>
      <c r="F574"/>
      <c r="G574"/>
      <c r="H574"/>
      <c r="I574"/>
      <c r="J574"/>
      <c r="K574"/>
      <c r="L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row>
    <row r="575" spans="1:56" ht="24.95" customHeight="1" x14ac:dyDescent="0.2">
      <c r="A575" s="1"/>
      <c r="B575" s="8" t="s">
        <v>292</v>
      </c>
      <c r="C575" s="423" t="s">
        <v>599</v>
      </c>
      <c r="D575" s="440"/>
      <c r="E575"/>
      <c r="F575"/>
      <c r="G575"/>
      <c r="H575"/>
      <c r="I575"/>
      <c r="J575"/>
      <c r="K575"/>
      <c r="L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row>
    <row r="576" spans="1:56" ht="11.1" customHeight="1" x14ac:dyDescent="0.2">
      <c r="A576" s="1"/>
      <c r="B576" s="1"/>
      <c r="C576" s="410"/>
      <c r="D576" s="433"/>
      <c r="E576"/>
      <c r="F576"/>
      <c r="G576"/>
      <c r="H576"/>
      <c r="I576"/>
      <c r="J576"/>
      <c r="K576"/>
      <c r="L576"/>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row>
    <row r="577" spans="1:56" ht="39" customHeight="1" x14ac:dyDescent="0.2">
      <c r="A577" s="1"/>
      <c r="B577" s="8" t="s">
        <v>293</v>
      </c>
      <c r="C577" s="423" t="s">
        <v>599</v>
      </c>
      <c r="D577" s="440"/>
      <c r="E577"/>
      <c r="F577"/>
      <c r="G577"/>
      <c r="H577"/>
      <c r="I577"/>
      <c r="J577"/>
      <c r="K577"/>
      <c r="L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row>
    <row r="578" spans="1:56" ht="11.1" customHeight="1" x14ac:dyDescent="0.2">
      <c r="A578" s="1"/>
      <c r="B578" s="1"/>
      <c r="C578" s="410"/>
      <c r="D578" s="433"/>
      <c r="E578"/>
      <c r="F578"/>
      <c r="G578"/>
      <c r="H578"/>
      <c r="I578"/>
      <c r="J578"/>
      <c r="K578"/>
      <c r="L578"/>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row>
    <row r="579" spans="1:56" ht="11.1" customHeight="1" x14ac:dyDescent="0.2">
      <c r="A579" s="1"/>
      <c r="B579" s="1"/>
      <c r="C579" s="410"/>
      <c r="D579" s="433"/>
      <c r="E579"/>
      <c r="F579"/>
      <c r="G579"/>
      <c r="H579"/>
      <c r="I579"/>
      <c r="J579"/>
      <c r="K579"/>
      <c r="L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row>
    <row r="580" spans="1:56" ht="12" customHeight="1" x14ac:dyDescent="0.2">
      <c r="A580" s="6">
        <v>28.4</v>
      </c>
      <c r="B580" s="7" t="s">
        <v>294</v>
      </c>
      <c r="C580" s="413"/>
      <c r="D580" s="436"/>
      <c r="E580"/>
      <c r="F580"/>
      <c r="G580"/>
      <c r="H580"/>
      <c r="I580"/>
      <c r="J580"/>
      <c r="K580"/>
      <c r="L580"/>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row>
    <row r="581" spans="1:56" ht="38.1" customHeight="1" x14ac:dyDescent="0.2">
      <c r="A581" s="1"/>
      <c r="B581" s="8" t="s">
        <v>295</v>
      </c>
      <c r="C581" s="423" t="s">
        <v>599</v>
      </c>
      <c r="D581" s="440"/>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row>
    <row r="582" spans="1:56" ht="11.1" customHeight="1" x14ac:dyDescent="0.2">
      <c r="A582" s="1"/>
      <c r="B582" s="1"/>
      <c r="C582" s="410"/>
      <c r="D582" s="433"/>
      <c r="E582"/>
      <c r="F582"/>
      <c r="G582"/>
      <c r="H582"/>
      <c r="I582"/>
      <c r="J582"/>
      <c r="K582"/>
      <c r="L582"/>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row>
    <row r="583" spans="1:56" ht="75.95" customHeight="1" x14ac:dyDescent="0.2">
      <c r="A583" s="1"/>
      <c r="B583" s="1" t="s">
        <v>296</v>
      </c>
      <c r="C583" s="423" t="s">
        <v>599</v>
      </c>
      <c r="D583" s="440"/>
      <c r="E583"/>
      <c r="F583"/>
      <c r="G583"/>
      <c r="H583"/>
      <c r="I583"/>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row>
    <row r="584" spans="1:56" ht="11.1" customHeight="1" x14ac:dyDescent="0.2">
      <c r="A584" s="1"/>
      <c r="B584" s="1"/>
      <c r="C584" s="410"/>
      <c r="D584" s="433"/>
      <c r="E584"/>
      <c r="F584"/>
      <c r="G584"/>
      <c r="H584"/>
      <c r="I584"/>
      <c r="J584"/>
      <c r="K584"/>
      <c r="L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row>
    <row r="585" spans="1:56" ht="12" customHeight="1" x14ac:dyDescent="0.2">
      <c r="A585" s="1"/>
      <c r="B585" s="8" t="s">
        <v>297</v>
      </c>
      <c r="C585" s="423" t="s">
        <v>599</v>
      </c>
      <c r="D585" s="440"/>
      <c r="E585"/>
      <c r="F585"/>
      <c r="G585"/>
      <c r="H585"/>
      <c r="I585"/>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row>
    <row r="586" spans="1:56" ht="9.9499999999999993" customHeight="1" x14ac:dyDescent="0.2">
      <c r="A586" s="1"/>
      <c r="B586" s="1"/>
      <c r="C586" s="410"/>
      <c r="D586" s="433"/>
      <c r="E586"/>
      <c r="F586"/>
      <c r="G586"/>
      <c r="H586"/>
      <c r="I586"/>
      <c r="J586"/>
      <c r="K586"/>
      <c r="L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row>
    <row r="587" spans="1:56" ht="24.95" customHeight="1" x14ac:dyDescent="0.2">
      <c r="A587" s="1"/>
      <c r="B587" s="8" t="s">
        <v>298</v>
      </c>
      <c r="C587" s="414"/>
      <c r="D587" s="438"/>
      <c r="E587"/>
      <c r="F587"/>
      <c r="G587"/>
      <c r="H587"/>
      <c r="I587"/>
      <c r="J587"/>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row>
    <row r="588" spans="1:56" ht="11.1" customHeight="1" x14ac:dyDescent="0.2">
      <c r="A588" s="1"/>
      <c r="B588" s="1"/>
      <c r="C588" s="410"/>
      <c r="D588" s="433"/>
      <c r="E588"/>
      <c r="F588"/>
      <c r="G588"/>
      <c r="H588"/>
      <c r="I588"/>
      <c r="J588"/>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row>
    <row r="589" spans="1:56" ht="12" customHeight="1" x14ac:dyDescent="0.2">
      <c r="A589" s="10">
        <v>28.5</v>
      </c>
      <c r="B589" s="7" t="s">
        <v>299</v>
      </c>
      <c r="C589" s="413"/>
      <c r="D589" s="436"/>
      <c r="E589"/>
      <c r="F589"/>
      <c r="G589"/>
      <c r="H589"/>
      <c r="I589"/>
      <c r="J589"/>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row>
    <row r="590" spans="1:56" ht="51" customHeight="1" x14ac:dyDescent="0.2">
      <c r="A590" s="1"/>
      <c r="B590" s="8" t="s">
        <v>300</v>
      </c>
      <c r="C590" s="423" t="s">
        <v>599</v>
      </c>
      <c r="D590" s="440"/>
      <c r="E590"/>
      <c r="F590"/>
      <c r="G590"/>
      <c r="H590"/>
      <c r="I590"/>
      <c r="J590"/>
      <c r="K590"/>
      <c r="L590"/>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row>
    <row r="591" spans="1:56" ht="11.1" customHeight="1" x14ac:dyDescent="0.2">
      <c r="A591" s="1"/>
      <c r="B591" s="1"/>
      <c r="C591" s="410"/>
      <c r="D591" s="433"/>
      <c r="E591"/>
      <c r="F591"/>
      <c r="G591"/>
      <c r="H591"/>
      <c r="I591"/>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row>
    <row r="592" spans="1:56" ht="12" customHeight="1" x14ac:dyDescent="0.2">
      <c r="A592" s="1"/>
      <c r="B592" s="8" t="s">
        <v>301</v>
      </c>
      <c r="C592" s="423" t="s">
        <v>599</v>
      </c>
      <c r="D592" s="440"/>
      <c r="E592"/>
      <c r="F592"/>
      <c r="G592"/>
      <c r="H592"/>
      <c r="I592"/>
      <c r="J592"/>
      <c r="K592"/>
      <c r="L592"/>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row>
    <row r="593" spans="1:56" ht="11.1" customHeight="1" x14ac:dyDescent="0.2">
      <c r="A593" s="1"/>
      <c r="B593" s="1"/>
      <c r="C593" s="410"/>
      <c r="D593" s="433"/>
      <c r="E593"/>
      <c r="F593"/>
      <c r="G593"/>
      <c r="H593"/>
      <c r="I593"/>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row>
    <row r="594" spans="1:56" ht="38.1" customHeight="1" x14ac:dyDescent="0.2">
      <c r="A594" s="1"/>
      <c r="B594" s="8" t="s">
        <v>302</v>
      </c>
      <c r="C594" s="423" t="s">
        <v>599</v>
      </c>
      <c r="D594" s="440"/>
      <c r="E594"/>
      <c r="F594"/>
      <c r="G594"/>
      <c r="H594"/>
      <c r="I594"/>
      <c r="J594"/>
      <c r="K594"/>
      <c r="L594"/>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row>
    <row r="595" spans="1:56" ht="11.1" customHeight="1" x14ac:dyDescent="0.2">
      <c r="A595" s="1"/>
      <c r="B595" s="1"/>
      <c r="C595" s="410"/>
      <c r="D595" s="433"/>
      <c r="E595"/>
      <c r="F595"/>
      <c r="G595"/>
      <c r="H595"/>
      <c r="I595"/>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row>
    <row r="596" spans="1:56" ht="12" customHeight="1" x14ac:dyDescent="0.2">
      <c r="A596" s="10">
        <v>28.6</v>
      </c>
      <c r="B596" s="7" t="s">
        <v>303</v>
      </c>
      <c r="C596" s="413"/>
      <c r="D596" s="436"/>
      <c r="E596"/>
      <c r="F596"/>
      <c r="G596"/>
      <c r="H596"/>
      <c r="I596"/>
      <c r="J596"/>
      <c r="K596"/>
      <c r="L596"/>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row>
    <row r="597" spans="1:56" ht="53.1" customHeight="1" x14ac:dyDescent="0.2">
      <c r="A597" s="1"/>
      <c r="B597" s="8" t="s">
        <v>304</v>
      </c>
      <c r="C597" s="423" t="s">
        <v>599</v>
      </c>
      <c r="D597" s="440"/>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row>
    <row r="598" spans="1:56" ht="11.1" customHeight="1" x14ac:dyDescent="0.2">
      <c r="A598" s="1"/>
      <c r="B598" s="1"/>
      <c r="C598" s="410"/>
      <c r="D598" s="433"/>
      <c r="E598"/>
      <c r="F598"/>
      <c r="G598"/>
      <c r="H598"/>
      <c r="I598"/>
      <c r="J598"/>
      <c r="K598"/>
      <c r="L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row>
    <row r="599" spans="1:56" ht="48" customHeight="1" x14ac:dyDescent="0.2">
      <c r="A599" s="1"/>
      <c r="B599" s="8" t="s">
        <v>305</v>
      </c>
      <c r="C599" s="423" t="s">
        <v>599</v>
      </c>
      <c r="D599" s="440"/>
      <c r="E599"/>
      <c r="F599"/>
      <c r="G599"/>
      <c r="H599"/>
      <c r="I599"/>
      <c r="J599"/>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row>
    <row r="600" spans="1:56" ht="11.1" customHeight="1" x14ac:dyDescent="0.2">
      <c r="A600" s="1"/>
      <c r="B600" s="1"/>
      <c r="C600" s="410"/>
      <c r="D600" s="433"/>
      <c r="E600"/>
      <c r="F600"/>
      <c r="G600"/>
      <c r="H600"/>
      <c r="I600"/>
      <c r="J600"/>
      <c r="K600"/>
      <c r="L600"/>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row>
    <row r="601" spans="1:56" ht="12" customHeight="1" x14ac:dyDescent="0.2">
      <c r="A601" s="1"/>
      <c r="B601" s="8" t="s">
        <v>306</v>
      </c>
      <c r="C601" s="423" t="s">
        <v>599</v>
      </c>
      <c r="D601" s="440"/>
      <c r="E601"/>
      <c r="F601"/>
      <c r="G601"/>
      <c r="H601"/>
      <c r="I601"/>
      <c r="J601"/>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row>
    <row r="602" spans="1:56" ht="11.1" customHeight="1" x14ac:dyDescent="0.2">
      <c r="A602" s="1"/>
      <c r="B602" s="1"/>
      <c r="C602" s="410"/>
      <c r="D602" s="433"/>
      <c r="E602"/>
      <c r="F602"/>
      <c r="G602"/>
      <c r="H602"/>
      <c r="I602"/>
      <c r="J602"/>
      <c r="K602"/>
      <c r="L602"/>
      <c r="M602"/>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row>
    <row r="603" spans="1:56" ht="24.95" customHeight="1" x14ac:dyDescent="0.2">
      <c r="A603" s="1"/>
      <c r="B603" s="8" t="s">
        <v>307</v>
      </c>
      <c r="C603" s="423" t="s">
        <v>599</v>
      </c>
      <c r="D603" s="440"/>
      <c r="E603"/>
      <c r="F603"/>
      <c r="G603"/>
      <c r="H603"/>
      <c r="I603"/>
      <c r="J603"/>
      <c r="K603"/>
      <c r="L603"/>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row>
    <row r="604" spans="1:56" ht="11.1" customHeight="1" x14ac:dyDescent="0.2">
      <c r="A604" s="1"/>
      <c r="B604" s="1"/>
      <c r="C604" s="410"/>
      <c r="D604" s="433"/>
      <c r="E604"/>
      <c r="F604"/>
      <c r="G604"/>
      <c r="H604"/>
      <c r="I604"/>
      <c r="J604"/>
      <c r="K604"/>
      <c r="L604"/>
      <c r="M604"/>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row>
    <row r="605" spans="1:56" ht="38.1" customHeight="1" x14ac:dyDescent="0.2">
      <c r="A605" s="1"/>
      <c r="B605" s="8" t="s">
        <v>308</v>
      </c>
      <c r="C605" s="423" t="s">
        <v>599</v>
      </c>
      <c r="D605" s="440"/>
      <c r="E605"/>
      <c r="F605"/>
      <c r="G605"/>
      <c r="H605"/>
      <c r="I605"/>
      <c r="J605"/>
      <c r="K605"/>
      <c r="L605"/>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row>
    <row r="606" spans="1:56" ht="11.1" customHeight="1" x14ac:dyDescent="0.2">
      <c r="A606" s="1"/>
      <c r="B606" s="1"/>
      <c r="C606" s="410"/>
      <c r="D606" s="433"/>
      <c r="E606"/>
      <c r="F606"/>
      <c r="G606"/>
      <c r="H606"/>
      <c r="I606"/>
      <c r="J606"/>
      <c r="K606"/>
      <c r="L606"/>
      <c r="M606"/>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row>
    <row r="607" spans="1:56" ht="38.1" customHeight="1" x14ac:dyDescent="0.2">
      <c r="A607" s="1"/>
      <c r="B607" s="8" t="s">
        <v>309</v>
      </c>
      <c r="C607" s="423" t="s">
        <v>599</v>
      </c>
      <c r="D607" s="440"/>
      <c r="E607"/>
      <c r="F607"/>
      <c r="G607"/>
      <c r="H607"/>
      <c r="I607"/>
      <c r="J607"/>
      <c r="K607"/>
      <c r="L607"/>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row>
    <row r="608" spans="1:56" ht="11.1" customHeight="1" x14ac:dyDescent="0.2">
      <c r="A608" s="1"/>
      <c r="B608" s="1"/>
      <c r="C608" s="410"/>
      <c r="D608" s="433"/>
      <c r="E608"/>
      <c r="F608"/>
      <c r="G608"/>
      <c r="H608"/>
      <c r="I608"/>
      <c r="J608"/>
      <c r="K608"/>
      <c r="L608"/>
      <c r="M608"/>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row>
    <row r="609" spans="1:56" ht="38.1" customHeight="1" x14ac:dyDescent="0.2">
      <c r="A609" s="1"/>
      <c r="B609" s="8" t="s">
        <v>310</v>
      </c>
      <c r="C609" s="423" t="s">
        <v>599</v>
      </c>
      <c r="D609" s="440"/>
      <c r="E609"/>
      <c r="F609"/>
      <c r="G609"/>
      <c r="H609"/>
      <c r="I609"/>
      <c r="J609"/>
      <c r="K609"/>
      <c r="L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row>
    <row r="610" spans="1:56" ht="11.1" customHeight="1" x14ac:dyDescent="0.2">
      <c r="A610" s="1"/>
      <c r="B610" s="1"/>
      <c r="C610" s="410"/>
      <c r="D610" s="433"/>
      <c r="E610"/>
      <c r="F610"/>
      <c r="G610"/>
      <c r="H610"/>
      <c r="I610"/>
      <c r="J610"/>
      <c r="K610"/>
      <c r="L610"/>
      <c r="M610"/>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row>
    <row r="611" spans="1:56" ht="38.1" customHeight="1" x14ac:dyDescent="0.2">
      <c r="A611" s="1"/>
      <c r="B611" s="8" t="s">
        <v>311</v>
      </c>
      <c r="C611" s="423" t="s">
        <v>599</v>
      </c>
      <c r="D611" s="440"/>
      <c r="E611"/>
      <c r="F611"/>
      <c r="G611"/>
      <c r="H611"/>
      <c r="I611"/>
      <c r="J611"/>
      <c r="K611"/>
      <c r="L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row>
    <row r="612" spans="1:56" ht="11.1" customHeight="1" x14ac:dyDescent="0.2">
      <c r="A612" s="1"/>
      <c r="B612" s="1"/>
      <c r="C612" s="410"/>
      <c r="D612" s="433"/>
      <c r="E612"/>
      <c r="F612"/>
      <c r="G612"/>
      <c r="H612"/>
      <c r="I612"/>
      <c r="J612"/>
      <c r="K612"/>
      <c r="L612"/>
      <c r="M612"/>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row>
    <row r="613" spans="1:56" ht="72.95" customHeight="1" x14ac:dyDescent="0.2">
      <c r="A613" s="1"/>
      <c r="B613" s="8" t="s">
        <v>312</v>
      </c>
      <c r="C613" s="423" t="s">
        <v>599</v>
      </c>
      <c r="D613" s="440"/>
      <c r="E613"/>
      <c r="F613"/>
      <c r="G613"/>
      <c r="H613"/>
      <c r="I613"/>
      <c r="J613"/>
      <c r="K613"/>
      <c r="L613"/>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row>
    <row r="614" spans="1:56" ht="11.1" customHeight="1" x14ac:dyDescent="0.2">
      <c r="A614" s="1"/>
      <c r="B614" s="1"/>
      <c r="C614" s="410"/>
      <c r="D614" s="433"/>
      <c r="E614"/>
      <c r="F614"/>
      <c r="G614"/>
      <c r="H614"/>
      <c r="I614"/>
      <c r="J614"/>
      <c r="K614"/>
      <c r="L614"/>
      <c r="M614"/>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row>
    <row r="615" spans="1:56" ht="12" customHeight="1" x14ac:dyDescent="0.2">
      <c r="A615" s="10">
        <v>28.7</v>
      </c>
      <c r="B615" s="7" t="s">
        <v>313</v>
      </c>
      <c r="C615" s="413"/>
      <c r="D615" s="436"/>
      <c r="E615"/>
      <c r="F615"/>
      <c r="G615"/>
      <c r="H615"/>
      <c r="I615"/>
      <c r="J615"/>
      <c r="K615"/>
      <c r="L615"/>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row>
    <row r="616" spans="1:56" ht="51" customHeight="1" x14ac:dyDescent="0.2">
      <c r="A616" s="1"/>
      <c r="B616" s="8" t="s">
        <v>314</v>
      </c>
      <c r="C616" s="423" t="s">
        <v>599</v>
      </c>
      <c r="D616" s="440"/>
      <c r="E616"/>
      <c r="F616"/>
      <c r="G616"/>
      <c r="H616"/>
      <c r="I616"/>
      <c r="J616"/>
      <c r="K616"/>
      <c r="L616"/>
      <c r="M616"/>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row>
    <row r="617" spans="1:56" ht="11.1" customHeight="1" x14ac:dyDescent="0.2">
      <c r="A617" s="1"/>
      <c r="B617" s="1"/>
      <c r="C617" s="410"/>
      <c r="D617" s="433"/>
      <c r="E617"/>
      <c r="F617"/>
      <c r="G617"/>
      <c r="H617"/>
      <c r="I617"/>
      <c r="J617"/>
      <c r="K617"/>
      <c r="L617"/>
      <c r="M617"/>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row>
    <row r="618" spans="1:56" ht="24.95" customHeight="1" x14ac:dyDescent="0.2">
      <c r="A618" s="1"/>
      <c r="B618" s="8" t="s">
        <v>315</v>
      </c>
      <c r="C618" s="423" t="s">
        <v>599</v>
      </c>
      <c r="D618" s="440"/>
      <c r="E618"/>
      <c r="F618"/>
      <c r="G618"/>
      <c r="H618"/>
      <c r="I618"/>
      <c r="J618"/>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row>
    <row r="619" spans="1:56" ht="11.1" customHeight="1" x14ac:dyDescent="0.2">
      <c r="A619" s="1"/>
      <c r="B619" s="1"/>
      <c r="C619" s="410"/>
      <c r="D619" s="433"/>
      <c r="E619"/>
      <c r="F619"/>
      <c r="G619"/>
      <c r="H619"/>
      <c r="I619"/>
      <c r="J619"/>
      <c r="K619"/>
      <c r="L619"/>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row>
    <row r="620" spans="1:56" ht="12" customHeight="1" x14ac:dyDescent="0.2">
      <c r="A620" s="10">
        <v>28.8</v>
      </c>
      <c r="B620" s="7" t="s">
        <v>316</v>
      </c>
      <c r="C620" s="413"/>
      <c r="D620" s="436"/>
      <c r="E620"/>
      <c r="F620"/>
      <c r="G620"/>
      <c r="H620"/>
      <c r="I620"/>
      <c r="J620"/>
      <c r="K620"/>
      <c r="L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row>
    <row r="621" spans="1:56" ht="11.1" customHeight="1" x14ac:dyDescent="0.2">
      <c r="A621" s="1"/>
      <c r="B621" s="1"/>
      <c r="C621" s="410"/>
      <c r="D621" s="433"/>
      <c r="E621"/>
      <c r="F621"/>
      <c r="G621"/>
      <c r="H621"/>
      <c r="I621"/>
      <c r="J621"/>
      <c r="K621"/>
      <c r="L621"/>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row>
    <row r="622" spans="1:56" ht="53.25" customHeight="1" x14ac:dyDescent="0.2">
      <c r="A622" s="1"/>
      <c r="B622" s="1" t="s">
        <v>317</v>
      </c>
      <c r="C622" s="423">
        <v>2600</v>
      </c>
      <c r="D622" s="440"/>
      <c r="E622"/>
      <c r="F622"/>
      <c r="G622"/>
      <c r="H622"/>
      <c r="I622"/>
      <c r="J622"/>
      <c r="K622"/>
      <c r="L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row>
    <row r="623" spans="1:56" ht="11.1" customHeight="1" x14ac:dyDescent="0.2">
      <c r="A623" s="1"/>
      <c r="B623" s="1"/>
      <c r="C623" s="410"/>
      <c r="D623" s="433"/>
      <c r="E623"/>
      <c r="F623"/>
      <c r="G623"/>
      <c r="H623"/>
      <c r="I623"/>
      <c r="J623"/>
      <c r="K623"/>
      <c r="L623"/>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row>
    <row r="624" spans="1:56" ht="26.1" customHeight="1" x14ac:dyDescent="0.2">
      <c r="A624" s="6">
        <v>28.9</v>
      </c>
      <c r="B624" s="8" t="s">
        <v>271</v>
      </c>
      <c r="C624" s="423" t="s">
        <v>599</v>
      </c>
      <c r="D624" s="440"/>
      <c r="E624"/>
      <c r="F624"/>
      <c r="G624"/>
      <c r="H624"/>
      <c r="I624"/>
      <c r="J624"/>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row>
    <row r="625" spans="1:56" ht="11.1" customHeight="1" x14ac:dyDescent="0.2">
      <c r="A625" s="1"/>
      <c r="B625" s="1"/>
      <c r="C625" s="410"/>
      <c r="D625" s="433"/>
      <c r="E625"/>
      <c r="F625"/>
      <c r="G625"/>
      <c r="H625"/>
      <c r="I625"/>
      <c r="J625"/>
      <c r="K625"/>
      <c r="L625"/>
      <c r="M625"/>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row>
    <row r="626" spans="1:56" ht="12" customHeight="1" x14ac:dyDescent="0.2">
      <c r="A626" s="9">
        <v>28.1</v>
      </c>
      <c r="B626" s="7" t="s">
        <v>318</v>
      </c>
      <c r="C626" s="413"/>
      <c r="D626" s="436"/>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row>
    <row r="627" spans="1:56" ht="25.5" customHeight="1" x14ac:dyDescent="0.2">
      <c r="A627" s="1"/>
      <c r="B627" s="8" t="s">
        <v>319</v>
      </c>
      <c r="C627" s="423" t="s">
        <v>599</v>
      </c>
      <c r="D627" s="440"/>
      <c r="E627"/>
      <c r="F627"/>
      <c r="G627"/>
      <c r="H627"/>
      <c r="I627"/>
      <c r="J627"/>
      <c r="K627"/>
      <c r="L627"/>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row>
    <row r="628" spans="1:56" ht="11.1" customHeight="1" x14ac:dyDescent="0.2">
      <c r="A628" s="1"/>
      <c r="B628" s="1"/>
      <c r="C628" s="410"/>
      <c r="D628" s="433"/>
      <c r="E628"/>
      <c r="F628"/>
      <c r="G628"/>
      <c r="H628"/>
      <c r="I628"/>
      <c r="J628"/>
      <c r="K628"/>
      <c r="L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row>
    <row r="629" spans="1:56" ht="12" customHeight="1" x14ac:dyDescent="0.2">
      <c r="A629" s="9">
        <v>28.11</v>
      </c>
      <c r="B629" s="7" t="s">
        <v>320</v>
      </c>
      <c r="C629" s="413"/>
      <c r="D629" s="436"/>
      <c r="E629"/>
      <c r="F629"/>
      <c r="G629"/>
      <c r="H629"/>
      <c r="I629"/>
      <c r="J629"/>
      <c r="K629"/>
      <c r="L629"/>
      <c r="M629"/>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row>
    <row r="630" spans="1:56" ht="40.5" customHeight="1" x14ac:dyDescent="0.2">
      <c r="A630" s="1"/>
      <c r="B630" s="8" t="s">
        <v>321</v>
      </c>
      <c r="C630" s="423" t="s">
        <v>599</v>
      </c>
      <c r="D630" s="440"/>
      <c r="E630"/>
      <c r="F630"/>
      <c r="G630"/>
      <c r="H630"/>
      <c r="I630"/>
      <c r="J630"/>
      <c r="K630"/>
      <c r="L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row>
    <row r="631" spans="1:56" ht="11.1" customHeight="1" x14ac:dyDescent="0.2">
      <c r="A631" s="1"/>
      <c r="B631" s="1"/>
      <c r="C631" s="410"/>
      <c r="D631" s="433"/>
      <c r="E631"/>
      <c r="F631"/>
      <c r="G631"/>
      <c r="H631"/>
      <c r="I631"/>
      <c r="J631"/>
      <c r="K631"/>
      <c r="L631"/>
      <c r="M631"/>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row>
    <row r="632" spans="1:56" ht="12" customHeight="1" x14ac:dyDescent="0.2">
      <c r="A632" s="1"/>
      <c r="B632" s="419" t="s">
        <v>681</v>
      </c>
      <c r="C632" s="420">
        <v>250</v>
      </c>
      <c r="D632" s="442"/>
      <c r="E632"/>
      <c r="F632"/>
      <c r="G632"/>
      <c r="H632"/>
      <c r="I632"/>
      <c r="J632"/>
      <c r="K632"/>
      <c r="L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row>
    <row r="633" spans="1:56" ht="11.1" customHeight="1" x14ac:dyDescent="0.2">
      <c r="A633" s="1"/>
      <c r="B633" s="1"/>
      <c r="C633" s="410"/>
      <c r="D633" s="433"/>
      <c r="E633"/>
      <c r="F633"/>
      <c r="G633"/>
      <c r="H633"/>
      <c r="I633"/>
      <c r="J633"/>
      <c r="K633"/>
      <c r="L633"/>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row>
    <row r="634" spans="1:56" ht="12" customHeight="1" x14ac:dyDescent="0.2">
      <c r="A634" s="1"/>
      <c r="B634" s="5" t="s">
        <v>66</v>
      </c>
      <c r="C634" s="412">
        <f>SUM(C530:C633)</f>
        <v>28010</v>
      </c>
      <c r="D634" s="435">
        <f>C634</f>
        <v>28010</v>
      </c>
      <c r="E634"/>
      <c r="F634"/>
      <c r="G634"/>
      <c r="H634"/>
      <c r="I634"/>
      <c r="J634"/>
      <c r="K634"/>
      <c r="L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row>
    <row r="635" spans="1:56" ht="11.1" customHeight="1" x14ac:dyDescent="0.2">
      <c r="A635" s="1"/>
      <c r="B635" s="1"/>
      <c r="C635" s="410"/>
      <c r="D635" s="433"/>
      <c r="E635"/>
      <c r="F635"/>
      <c r="G635"/>
      <c r="H635"/>
      <c r="I635"/>
      <c r="J635"/>
      <c r="K635"/>
      <c r="L635"/>
      <c r="M635"/>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row>
    <row r="636" spans="1:56" ht="12" customHeight="1" x14ac:dyDescent="0.2">
      <c r="A636" s="6">
        <v>29</v>
      </c>
      <c r="B636" s="5" t="s">
        <v>322</v>
      </c>
      <c r="C636" s="412"/>
      <c r="D636" s="435"/>
      <c r="E636"/>
      <c r="F636"/>
      <c r="G636"/>
      <c r="H636"/>
      <c r="I636"/>
      <c r="J636"/>
      <c r="K636"/>
      <c r="L636"/>
      <c r="M636"/>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row>
    <row r="637" spans="1:56" ht="63" customHeight="1" x14ac:dyDescent="0.2">
      <c r="A637" s="1"/>
      <c r="B637" s="8" t="s">
        <v>323</v>
      </c>
      <c r="C637" s="414">
        <v>1890</v>
      </c>
      <c r="D637" s="438"/>
      <c r="E637"/>
      <c r="F637"/>
      <c r="G637"/>
      <c r="H637"/>
      <c r="I637"/>
      <c r="J637"/>
      <c r="K637"/>
      <c r="L637"/>
      <c r="M637"/>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row>
    <row r="638" spans="1:56" ht="11.1" customHeight="1" x14ac:dyDescent="0.2">
      <c r="A638" s="1"/>
      <c r="B638" s="1"/>
      <c r="C638" s="410"/>
      <c r="D638" s="433"/>
      <c r="E638"/>
      <c r="F638"/>
      <c r="G638"/>
      <c r="H638"/>
      <c r="I638"/>
      <c r="J638"/>
      <c r="K638"/>
      <c r="L638"/>
      <c r="M638"/>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row>
    <row r="639" spans="1:56" ht="12" customHeight="1" x14ac:dyDescent="0.2">
      <c r="A639" s="1"/>
      <c r="B639" s="5" t="s">
        <v>66</v>
      </c>
      <c r="C639" s="412">
        <f>C637</f>
        <v>1890</v>
      </c>
      <c r="D639" s="435">
        <f>C639</f>
        <v>1890</v>
      </c>
      <c r="E639"/>
      <c r="F639"/>
      <c r="G639"/>
      <c r="H639"/>
      <c r="I639"/>
      <c r="J639"/>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row>
    <row r="640" spans="1:56" ht="11.1" customHeight="1" x14ac:dyDescent="0.2">
      <c r="A640" s="1"/>
      <c r="B640" s="1"/>
      <c r="C640" s="410"/>
      <c r="D640" s="433"/>
      <c r="E640"/>
      <c r="F640"/>
      <c r="G640"/>
      <c r="H640"/>
      <c r="I640"/>
      <c r="J640"/>
      <c r="K640"/>
      <c r="L640"/>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row>
    <row r="641" spans="1:56" ht="12" customHeight="1" x14ac:dyDescent="0.2">
      <c r="A641" s="6">
        <v>30</v>
      </c>
      <c r="B641" s="5" t="s">
        <v>324</v>
      </c>
      <c r="C641" s="412"/>
      <c r="D641" s="435"/>
      <c r="E641"/>
      <c r="F641"/>
      <c r="G641"/>
      <c r="H641"/>
      <c r="I641"/>
      <c r="J641"/>
      <c r="K641"/>
      <c r="L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row>
    <row r="642" spans="1:56" ht="102.75" customHeight="1" x14ac:dyDescent="0.2">
      <c r="A642" s="1"/>
      <c r="B642" s="8" t="s">
        <v>325</v>
      </c>
      <c r="C642" s="414">
        <f>H642+I642+L642</f>
        <v>14770</v>
      </c>
      <c r="D642" s="438"/>
      <c r="E642"/>
      <c r="F642"/>
      <c r="G642">
        <v>3</v>
      </c>
      <c r="H642">
        <v>4950</v>
      </c>
      <c r="I642">
        <v>7500</v>
      </c>
      <c r="J642" s="425" t="s">
        <v>682</v>
      </c>
      <c r="K642">
        <v>145</v>
      </c>
      <c r="L642">
        <f>K642*16</f>
        <v>2320</v>
      </c>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row>
    <row r="643" spans="1:56" ht="11.1" customHeight="1" x14ac:dyDescent="0.2">
      <c r="A643" s="1"/>
      <c r="B643" s="1"/>
      <c r="C643" s="410"/>
      <c r="D643" s="433"/>
      <c r="E643"/>
      <c r="F643"/>
      <c r="G643"/>
      <c r="H643"/>
      <c r="I643"/>
      <c r="J643"/>
      <c r="K643"/>
      <c r="L643"/>
      <c r="M643"/>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row>
    <row r="644" spans="1:56" ht="11.1" customHeight="1" x14ac:dyDescent="0.2">
      <c r="A644" s="10">
        <v>30.1</v>
      </c>
      <c r="B644" s="7" t="s">
        <v>326</v>
      </c>
      <c r="C644" s="413"/>
      <c r="D644" s="436"/>
      <c r="E644"/>
      <c r="F644"/>
      <c r="G644"/>
      <c r="H644"/>
      <c r="I644"/>
      <c r="J644"/>
      <c r="K644"/>
      <c r="L644"/>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row>
    <row r="645" spans="1:56" ht="89.1" customHeight="1" x14ac:dyDescent="0.2">
      <c r="A645" s="1"/>
      <c r="B645" s="8" t="s">
        <v>327</v>
      </c>
      <c r="C645" s="414">
        <v>1750</v>
      </c>
      <c r="D645" s="438"/>
      <c r="E645"/>
      <c r="F645"/>
      <c r="G645">
        <v>5</v>
      </c>
      <c r="H645">
        <v>250</v>
      </c>
      <c r="I645"/>
      <c r="J645"/>
      <c r="K645"/>
      <c r="L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row>
    <row r="646" spans="1:56" ht="11.1" customHeight="1" x14ac:dyDescent="0.2">
      <c r="A646" s="1"/>
      <c r="B646" s="1"/>
      <c r="C646" s="410"/>
      <c r="D646" s="433"/>
      <c r="E646"/>
      <c r="F646"/>
      <c r="G646"/>
      <c r="H646"/>
      <c r="I646"/>
      <c r="J646"/>
      <c r="K646"/>
      <c r="L646"/>
      <c r="M646"/>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row>
    <row r="647" spans="1:56" ht="38.1" customHeight="1" x14ac:dyDescent="0.2">
      <c r="A647" s="1"/>
      <c r="B647" s="8" t="s">
        <v>328</v>
      </c>
      <c r="C647" s="423" t="s">
        <v>599</v>
      </c>
      <c r="D647" s="440"/>
      <c r="E647"/>
      <c r="F647"/>
      <c r="G647"/>
      <c r="H647"/>
      <c r="I647"/>
      <c r="J647"/>
      <c r="K647"/>
      <c r="L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row>
    <row r="648" spans="1:56" ht="11.1" customHeight="1" x14ac:dyDescent="0.2">
      <c r="A648" s="1"/>
      <c r="B648" s="1"/>
      <c r="C648" s="410"/>
      <c r="D648" s="433"/>
      <c r="E648"/>
      <c r="F648"/>
      <c r="G648"/>
      <c r="H648"/>
      <c r="I648"/>
      <c r="J648"/>
      <c r="K648"/>
      <c r="L648"/>
      <c r="M648"/>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row>
    <row r="649" spans="1:56" ht="12" customHeight="1" x14ac:dyDescent="0.2">
      <c r="A649" s="1"/>
      <c r="B649" s="8" t="s">
        <v>329</v>
      </c>
      <c r="C649" s="423" t="s">
        <v>599</v>
      </c>
      <c r="D649" s="438"/>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row>
    <row r="650" spans="1:56" ht="11.1" customHeight="1" x14ac:dyDescent="0.2">
      <c r="A650" s="1"/>
      <c r="B650" s="1"/>
      <c r="C650" s="410"/>
      <c r="D650" s="433"/>
      <c r="E650"/>
      <c r="F650"/>
      <c r="G650"/>
      <c r="H650"/>
      <c r="I650"/>
      <c r="J650"/>
      <c r="K650"/>
      <c r="L650"/>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row>
    <row r="651" spans="1:56" ht="12" customHeight="1" x14ac:dyDescent="0.2">
      <c r="A651" s="1"/>
      <c r="B651" s="5" t="s">
        <v>66</v>
      </c>
      <c r="C651" s="412">
        <f>SUM(C640:C650)</f>
        <v>16520</v>
      </c>
      <c r="D651" s="435">
        <f>C651</f>
        <v>16520</v>
      </c>
      <c r="E651"/>
      <c r="F651"/>
      <c r="G651"/>
      <c r="H651"/>
      <c r="I651"/>
      <c r="J651"/>
      <c r="K651"/>
      <c r="L651"/>
      <c r="M651"/>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row>
    <row r="652" spans="1:56" ht="11.1" customHeight="1" x14ac:dyDescent="0.2">
      <c r="A652" s="1"/>
      <c r="B652" s="1"/>
      <c r="C652" s="410"/>
      <c r="D652" s="433"/>
      <c r="E652"/>
      <c r="F652"/>
      <c r="G652"/>
      <c r="H652"/>
      <c r="I652"/>
      <c r="J652"/>
      <c r="K652"/>
      <c r="L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row>
    <row r="653" spans="1:56" ht="11.1" customHeight="1" x14ac:dyDescent="0.2">
      <c r="A653" s="1"/>
      <c r="B653" s="1"/>
      <c r="C653" s="410"/>
      <c r="D653" s="433"/>
      <c r="E653"/>
      <c r="F653"/>
      <c r="G653"/>
      <c r="H653"/>
      <c r="I653"/>
      <c r="J653"/>
      <c r="K65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row>
    <row r="654" spans="1:56" ht="11.1" customHeight="1" x14ac:dyDescent="0.2">
      <c r="A654" s="6">
        <v>31</v>
      </c>
      <c r="B654" s="5" t="s">
        <v>330</v>
      </c>
      <c r="C654" s="412"/>
      <c r="D654" s="435"/>
      <c r="E654"/>
      <c r="F654"/>
      <c r="G654"/>
      <c r="H654"/>
      <c r="I654"/>
      <c r="J654"/>
      <c r="K654"/>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row>
    <row r="655" spans="1:56" ht="30.75" customHeight="1" x14ac:dyDescent="0.2">
      <c r="A655" s="1"/>
      <c r="B655" s="8" t="s">
        <v>331</v>
      </c>
      <c r="C655" s="414">
        <v>1222</v>
      </c>
      <c r="D655" s="438"/>
      <c r="E655"/>
      <c r="F655"/>
      <c r="G655"/>
      <c r="H655"/>
      <c r="I655"/>
      <c r="J655"/>
      <c r="K655"/>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row>
    <row r="656" spans="1:56" ht="11.1" customHeight="1" x14ac:dyDescent="0.2">
      <c r="A656" s="1"/>
      <c r="B656" s="1"/>
      <c r="C656" s="410"/>
      <c r="D656" s="433"/>
      <c r="E656"/>
      <c r="F656"/>
      <c r="G656"/>
      <c r="H656"/>
      <c r="I656"/>
      <c r="J656"/>
      <c r="K656"/>
      <c r="L656"/>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row>
    <row r="657" spans="1:56" ht="39" customHeight="1" x14ac:dyDescent="0.2">
      <c r="A657" s="1"/>
      <c r="B657" s="8" t="s">
        <v>332</v>
      </c>
      <c r="C657" s="423" t="s">
        <v>599</v>
      </c>
      <c r="D657" s="440"/>
      <c r="E657"/>
      <c r="F657"/>
      <c r="G657"/>
      <c r="H657"/>
      <c r="I657"/>
      <c r="J657"/>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row>
    <row r="658" spans="1:56" ht="11.1" customHeight="1" x14ac:dyDescent="0.2">
      <c r="A658" s="1"/>
      <c r="B658" s="1"/>
      <c r="C658" s="410"/>
      <c r="D658" s="433"/>
      <c r="E658"/>
      <c r="F658"/>
      <c r="G658"/>
      <c r="H658"/>
      <c r="I658"/>
      <c r="J658"/>
      <c r="K658"/>
      <c r="L658"/>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row>
    <row r="659" spans="1:56" ht="39" customHeight="1" x14ac:dyDescent="0.2">
      <c r="A659" s="1"/>
      <c r="B659" s="8" t="s">
        <v>333</v>
      </c>
      <c r="C659" s="423" t="s">
        <v>599</v>
      </c>
      <c r="D659" s="440"/>
      <c r="E659"/>
      <c r="F659"/>
      <c r="G659"/>
      <c r="H659"/>
      <c r="I659"/>
      <c r="J659"/>
      <c r="K659"/>
      <c r="L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row>
    <row r="660" spans="1:56" ht="11.1" customHeight="1" x14ac:dyDescent="0.2">
      <c r="A660" s="1"/>
      <c r="B660" s="1"/>
      <c r="C660" s="410"/>
      <c r="D660" s="433"/>
      <c r="E660"/>
      <c r="F660"/>
      <c r="G660"/>
      <c r="H660"/>
      <c r="I660"/>
      <c r="J660"/>
      <c r="K660"/>
      <c r="L660"/>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row>
    <row r="661" spans="1:56" ht="39" customHeight="1" x14ac:dyDescent="0.2">
      <c r="A661" s="1"/>
      <c r="B661" s="8" t="s">
        <v>334</v>
      </c>
      <c r="C661" s="423" t="s">
        <v>599</v>
      </c>
      <c r="D661" s="440"/>
      <c r="E661"/>
      <c r="F661"/>
      <c r="G661"/>
      <c r="H661"/>
      <c r="I661"/>
      <c r="J661"/>
      <c r="K661"/>
      <c r="L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row>
    <row r="662" spans="1:56" ht="11.1" customHeight="1" x14ac:dyDescent="0.2">
      <c r="A662" s="1"/>
      <c r="B662" s="1"/>
      <c r="C662" s="410"/>
      <c r="D662" s="433"/>
      <c r="E662"/>
      <c r="F662"/>
      <c r="G662"/>
      <c r="H662"/>
      <c r="I662"/>
      <c r="J662"/>
      <c r="K662"/>
      <c r="L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row>
    <row r="663" spans="1:56" ht="39" customHeight="1" x14ac:dyDescent="0.2">
      <c r="A663" s="1"/>
      <c r="B663" s="8" t="s">
        <v>335</v>
      </c>
      <c r="C663" s="423" t="s">
        <v>599</v>
      </c>
      <c r="D663" s="440"/>
      <c r="E663"/>
      <c r="F663"/>
      <c r="G663"/>
      <c r="H663"/>
      <c r="I663"/>
      <c r="J663"/>
      <c r="K663"/>
      <c r="L663"/>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row>
    <row r="664" spans="1:56" ht="11.1" customHeight="1" x14ac:dyDescent="0.2">
      <c r="A664" s="1"/>
      <c r="B664" s="1"/>
      <c r="C664" s="410"/>
      <c r="D664" s="433"/>
      <c r="E664"/>
      <c r="F664"/>
      <c r="G664"/>
      <c r="H664"/>
      <c r="I664"/>
      <c r="J664"/>
      <c r="K664"/>
      <c r="L664"/>
      <c r="M664"/>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row>
    <row r="665" spans="1:56" ht="12" customHeight="1" x14ac:dyDescent="0.2">
      <c r="A665" s="1"/>
      <c r="B665" s="5" t="s">
        <v>66</v>
      </c>
      <c r="C665" s="412">
        <f>C655</f>
        <v>1222</v>
      </c>
      <c r="D665" s="435">
        <f>C665</f>
        <v>1222</v>
      </c>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row>
    <row r="666" spans="1:56" ht="11.1" customHeight="1" x14ac:dyDescent="0.2">
      <c r="A666" s="1"/>
      <c r="B666" s="1"/>
      <c r="C666" s="410"/>
      <c r="D666" s="433"/>
      <c r="E666"/>
      <c r="F666"/>
      <c r="G666"/>
      <c r="H666"/>
      <c r="I666"/>
      <c r="J666"/>
      <c r="K666"/>
      <c r="L666"/>
      <c r="M666"/>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row>
    <row r="667" spans="1:56" ht="12" customHeight="1" x14ac:dyDescent="0.2">
      <c r="A667" s="6">
        <v>32</v>
      </c>
      <c r="B667" s="5" t="s">
        <v>336</v>
      </c>
      <c r="C667" s="412"/>
      <c r="D667" s="435"/>
      <c r="E667"/>
      <c r="F667"/>
      <c r="G667"/>
      <c r="H667"/>
      <c r="I667"/>
      <c r="J667"/>
      <c r="K667"/>
      <c r="L667"/>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row>
    <row r="668" spans="1:56" ht="38.1" customHeight="1" x14ac:dyDescent="0.2">
      <c r="A668" s="1"/>
      <c r="B668" s="8" t="s">
        <v>337</v>
      </c>
      <c r="C668" s="423" t="s">
        <v>599</v>
      </c>
      <c r="D668" s="440"/>
      <c r="E668"/>
      <c r="F668"/>
      <c r="G668"/>
      <c r="H668"/>
      <c r="I668"/>
      <c r="J668"/>
      <c r="K668"/>
      <c r="L668"/>
      <c r="M668"/>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row>
    <row r="669" spans="1:56" ht="11.1" customHeight="1" x14ac:dyDescent="0.2">
      <c r="A669" s="1"/>
      <c r="B669" s="1"/>
      <c r="C669" s="410"/>
      <c r="D669" s="433"/>
      <c r="E669"/>
      <c r="F669"/>
      <c r="G669"/>
      <c r="H669"/>
      <c r="I669"/>
      <c r="J669"/>
      <c r="K669"/>
      <c r="L669"/>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row>
    <row r="670" spans="1:56" ht="38.1" customHeight="1" x14ac:dyDescent="0.2">
      <c r="A670" s="1"/>
      <c r="B670" s="1" t="s">
        <v>338</v>
      </c>
      <c r="C670" s="423" t="s">
        <v>599</v>
      </c>
      <c r="D670" s="440"/>
      <c r="E670"/>
      <c r="F670"/>
      <c r="G670"/>
      <c r="H670"/>
      <c r="I670"/>
      <c r="J670"/>
      <c r="K670"/>
      <c r="L670"/>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row>
    <row r="671" spans="1:56" ht="11.1" customHeight="1" x14ac:dyDescent="0.2">
      <c r="A671" s="1"/>
      <c r="B671" s="1"/>
      <c r="C671" s="410"/>
      <c r="D671" s="433"/>
      <c r="E671"/>
      <c r="F671"/>
      <c r="G671"/>
      <c r="H671"/>
      <c r="I671"/>
      <c r="J671"/>
      <c r="K671"/>
      <c r="L671"/>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row>
    <row r="672" spans="1:56" ht="89.1" customHeight="1" x14ac:dyDescent="0.2">
      <c r="A672" s="1"/>
      <c r="B672" s="8" t="s">
        <v>339</v>
      </c>
      <c r="C672" s="423" t="s">
        <v>599</v>
      </c>
      <c r="D672" s="440"/>
      <c r="E672"/>
      <c r="F672"/>
      <c r="G672"/>
      <c r="H672"/>
      <c r="I672"/>
      <c r="J672"/>
      <c r="K672"/>
      <c r="L672"/>
      <c r="M672"/>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row>
    <row r="673" spans="1:56" ht="11.1" customHeight="1" x14ac:dyDescent="0.2">
      <c r="A673" s="1"/>
      <c r="B673" s="1"/>
      <c r="C673" s="410"/>
      <c r="D673" s="433"/>
      <c r="E673"/>
      <c r="F673"/>
      <c r="G673"/>
      <c r="H673"/>
      <c r="I673"/>
      <c r="J673"/>
      <c r="K673"/>
      <c r="L673"/>
      <c r="M673"/>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row>
    <row r="674" spans="1:56" ht="75.95" customHeight="1" x14ac:dyDescent="0.2">
      <c r="A674" s="1"/>
      <c r="B674" s="8" t="s">
        <v>340</v>
      </c>
      <c r="C674" s="423" t="s">
        <v>599</v>
      </c>
      <c r="D674" s="440"/>
      <c r="E674"/>
      <c r="F674"/>
      <c r="G674"/>
      <c r="H674"/>
      <c r="I674"/>
      <c r="J674"/>
      <c r="K674"/>
      <c r="L674"/>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row>
    <row r="675" spans="1:56" ht="11.1" customHeight="1" x14ac:dyDescent="0.2">
      <c r="A675" s="1"/>
      <c r="B675" s="1"/>
      <c r="C675" s="410"/>
      <c r="D675" s="433"/>
      <c r="E675"/>
      <c r="F675"/>
      <c r="G675"/>
      <c r="H675"/>
      <c r="I675"/>
      <c r="J675"/>
      <c r="K675"/>
      <c r="L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row>
    <row r="676" spans="1:56" ht="12" customHeight="1" x14ac:dyDescent="0.2">
      <c r="A676" s="1"/>
      <c r="B676" s="5" t="s">
        <v>66</v>
      </c>
      <c r="C676" s="415" t="s">
        <v>599</v>
      </c>
      <c r="D676" s="439"/>
      <c r="E676"/>
      <c r="F676"/>
      <c r="G676"/>
      <c r="H676"/>
      <c r="I676"/>
      <c r="J676"/>
      <c r="K676"/>
      <c r="L676"/>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row>
    <row r="677" spans="1:56" ht="11.1" customHeight="1" x14ac:dyDescent="0.2">
      <c r="A677" s="1"/>
      <c r="B677" s="1"/>
      <c r="C677" s="410"/>
      <c r="D677" s="433"/>
      <c r="E677"/>
      <c r="F677"/>
      <c r="G677"/>
      <c r="H677"/>
      <c r="I677"/>
      <c r="J677"/>
      <c r="K677"/>
      <c r="L677"/>
      <c r="M677"/>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row>
    <row r="678" spans="1:56" ht="12" customHeight="1" x14ac:dyDescent="0.2">
      <c r="A678" s="6">
        <v>33</v>
      </c>
      <c r="B678" s="5" t="s">
        <v>341</v>
      </c>
      <c r="C678" s="412"/>
      <c r="D678" s="435"/>
      <c r="E678"/>
      <c r="F678"/>
      <c r="G678"/>
      <c r="H678"/>
      <c r="I678"/>
      <c r="J678"/>
      <c r="K678"/>
      <c r="L678"/>
      <c r="M678"/>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row>
    <row r="679" spans="1:56" ht="101.1" customHeight="1" x14ac:dyDescent="0.2">
      <c r="A679" s="1"/>
      <c r="B679" s="8" t="s">
        <v>342</v>
      </c>
      <c r="C679" s="414">
        <v>2080</v>
      </c>
      <c r="D679" s="438"/>
      <c r="E679"/>
      <c r="F679"/>
      <c r="G679"/>
      <c r="H679"/>
      <c r="I679"/>
      <c r="J679"/>
      <c r="K679"/>
      <c r="L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row>
    <row r="680" spans="1:56" ht="11.1" customHeight="1" x14ac:dyDescent="0.2">
      <c r="A680" s="1"/>
      <c r="B680" s="1"/>
      <c r="C680" s="410"/>
      <c r="D680" s="433"/>
      <c r="E680"/>
      <c r="F680"/>
      <c r="G680"/>
      <c r="H680"/>
      <c r="I680"/>
      <c r="J680"/>
      <c r="K680"/>
      <c r="L680"/>
      <c r="M680"/>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row>
    <row r="681" spans="1:56" ht="51" customHeight="1" x14ac:dyDescent="0.2">
      <c r="A681" s="1"/>
      <c r="B681" s="8" t="s">
        <v>343</v>
      </c>
      <c r="C681" s="414">
        <v>1566</v>
      </c>
      <c r="D681" s="438"/>
      <c r="E681"/>
      <c r="F681"/>
      <c r="G681"/>
      <c r="H681"/>
      <c r="I681"/>
      <c r="J681"/>
      <c r="K681"/>
      <c r="L681"/>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row>
    <row r="682" spans="1:56" ht="11.1" customHeight="1" x14ac:dyDescent="0.2">
      <c r="A682" s="1"/>
      <c r="B682" s="1"/>
      <c r="C682" s="410"/>
      <c r="D682" s="433"/>
      <c r="E682"/>
      <c r="F682"/>
      <c r="G682"/>
      <c r="H682"/>
      <c r="I682"/>
      <c r="J682"/>
      <c r="K682"/>
      <c r="L682"/>
      <c r="M682"/>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row>
    <row r="683" spans="1:56" ht="24.95" customHeight="1" x14ac:dyDescent="0.2">
      <c r="A683" s="1"/>
      <c r="B683" s="8" t="s">
        <v>344</v>
      </c>
      <c r="C683" s="423" t="s">
        <v>599</v>
      </c>
      <c r="D683" s="440"/>
      <c r="E683"/>
      <c r="F683"/>
      <c r="G683"/>
      <c r="H683"/>
      <c r="I683"/>
      <c r="J683"/>
      <c r="K683"/>
      <c r="L683"/>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row>
    <row r="684" spans="1:56" ht="11.1" customHeight="1" x14ac:dyDescent="0.2">
      <c r="A684" s="1"/>
      <c r="B684" s="1"/>
      <c r="C684" s="410"/>
      <c r="D684" s="433"/>
      <c r="E684"/>
      <c r="F684"/>
      <c r="G684"/>
      <c r="H684"/>
      <c r="I684"/>
      <c r="J684"/>
      <c r="K684"/>
      <c r="L684"/>
      <c r="M684"/>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row>
    <row r="685" spans="1:56" ht="24.95" customHeight="1" x14ac:dyDescent="0.2">
      <c r="A685" s="1"/>
      <c r="B685" s="8" t="s">
        <v>345</v>
      </c>
      <c r="C685" s="423" t="s">
        <v>599</v>
      </c>
      <c r="D685" s="440"/>
      <c r="E685"/>
      <c r="F685"/>
      <c r="G685"/>
      <c r="H685"/>
      <c r="I685"/>
      <c r="J685"/>
      <c r="K685"/>
      <c r="L685"/>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row>
    <row r="686" spans="1:56" ht="11.1" customHeight="1" x14ac:dyDescent="0.2">
      <c r="A686" s="1"/>
      <c r="B686" s="1"/>
      <c r="C686" s="410"/>
      <c r="D686" s="433"/>
      <c r="E686"/>
      <c r="F686"/>
      <c r="G686"/>
      <c r="H686"/>
      <c r="I686"/>
      <c r="J686"/>
      <c r="K686"/>
      <c r="L686"/>
      <c r="M686"/>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row>
    <row r="687" spans="1:56" ht="51" customHeight="1" x14ac:dyDescent="0.2">
      <c r="A687" s="1"/>
      <c r="B687" s="8" t="s">
        <v>346</v>
      </c>
      <c r="C687" s="414">
        <v>900</v>
      </c>
      <c r="D687" s="438"/>
      <c r="E687"/>
      <c r="F687"/>
      <c r="G687"/>
      <c r="H687"/>
      <c r="I687"/>
      <c r="J687"/>
      <c r="K687"/>
      <c r="L687"/>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row>
    <row r="688" spans="1:56" ht="11.1" customHeight="1" x14ac:dyDescent="0.2">
      <c r="A688" s="1"/>
      <c r="B688" s="1"/>
      <c r="C688" s="410"/>
      <c r="D688" s="433"/>
      <c r="E688"/>
      <c r="F688"/>
      <c r="G688"/>
      <c r="H688"/>
      <c r="I688"/>
      <c r="J688"/>
      <c r="K688"/>
      <c r="L688"/>
      <c r="M688"/>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row>
    <row r="689" spans="1:56" ht="78.75" customHeight="1" x14ac:dyDescent="0.2">
      <c r="A689" s="1"/>
      <c r="B689" s="8" t="s">
        <v>347</v>
      </c>
      <c r="C689" s="423" t="s">
        <v>680</v>
      </c>
      <c r="D689" s="440"/>
      <c r="E689"/>
      <c r="F689"/>
      <c r="G689"/>
      <c r="H689"/>
      <c r="I689"/>
      <c r="J689"/>
      <c r="K689"/>
      <c r="L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row>
    <row r="690" spans="1:56" ht="11.1" customHeight="1" x14ac:dyDescent="0.2">
      <c r="A690" s="1"/>
      <c r="B690" s="1"/>
      <c r="C690" s="410"/>
      <c r="D690" s="433"/>
      <c r="E690"/>
      <c r="F690"/>
      <c r="G690"/>
      <c r="H690"/>
      <c r="I690"/>
      <c r="J690"/>
      <c r="K690"/>
      <c r="L690"/>
      <c r="M690"/>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row>
    <row r="691" spans="1:56" ht="24.95" customHeight="1" x14ac:dyDescent="0.2">
      <c r="A691" s="1"/>
      <c r="B691" s="8" t="s">
        <v>348</v>
      </c>
      <c r="C691" s="423" t="s">
        <v>599</v>
      </c>
      <c r="D691" s="440"/>
      <c r="E691"/>
      <c r="F691"/>
      <c r="G691"/>
      <c r="H691"/>
      <c r="I691"/>
      <c r="J691"/>
      <c r="K691"/>
      <c r="L691"/>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row>
    <row r="692" spans="1:56" ht="11.1" customHeight="1" x14ac:dyDescent="0.2">
      <c r="A692" s="1"/>
      <c r="B692" s="1"/>
      <c r="C692" s="410"/>
      <c r="D692" s="433"/>
      <c r="E692"/>
      <c r="F692"/>
      <c r="G692"/>
      <c r="H692"/>
      <c r="I692"/>
      <c r="J692"/>
      <c r="K692"/>
      <c r="L692"/>
      <c r="M692"/>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row>
    <row r="693" spans="1:56" ht="12" customHeight="1" x14ac:dyDescent="0.2">
      <c r="A693" s="1"/>
      <c r="B693" s="5" t="s">
        <v>66</v>
      </c>
      <c r="C693" s="412">
        <f>SUM(C679:C692)</f>
        <v>4546</v>
      </c>
      <c r="D693" s="435">
        <f>C693</f>
        <v>4546</v>
      </c>
      <c r="E693"/>
      <c r="F693"/>
      <c r="G693"/>
      <c r="H693"/>
      <c r="I693"/>
      <c r="J693"/>
      <c r="K693"/>
      <c r="L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row>
    <row r="694" spans="1:56" ht="11.1" customHeight="1" x14ac:dyDescent="0.2">
      <c r="A694" s="1"/>
      <c r="B694" s="1"/>
      <c r="C694" s="410"/>
      <c r="D694" s="433"/>
      <c r="E694"/>
      <c r="F694"/>
      <c r="G694"/>
      <c r="H694"/>
      <c r="I694"/>
      <c r="J694"/>
      <c r="K694"/>
      <c r="L694"/>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row>
    <row r="695" spans="1:56" ht="12" customHeight="1" x14ac:dyDescent="0.2">
      <c r="A695" s="6">
        <v>34</v>
      </c>
      <c r="B695" s="5" t="s">
        <v>349</v>
      </c>
      <c r="C695" s="412"/>
      <c r="D695" s="435"/>
      <c r="E695"/>
      <c r="F695"/>
      <c r="G695"/>
      <c r="H695"/>
      <c r="I695"/>
      <c r="J695"/>
      <c r="K695"/>
      <c r="L695"/>
      <c r="M695"/>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row>
    <row r="696" spans="1:56" ht="24.95" customHeight="1" x14ac:dyDescent="0.2">
      <c r="A696" s="1"/>
      <c r="B696" s="8" t="s">
        <v>350</v>
      </c>
      <c r="C696" s="414"/>
      <c r="D696" s="438"/>
      <c r="E696"/>
      <c r="F696"/>
      <c r="G696"/>
      <c r="H696"/>
      <c r="I696"/>
      <c r="J696"/>
      <c r="K696"/>
      <c r="L696"/>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row>
    <row r="697" spans="1:56" ht="12" customHeight="1" x14ac:dyDescent="0.2">
      <c r="A697" s="1"/>
      <c r="B697" s="1"/>
      <c r="C697" s="410"/>
      <c r="D697" s="433"/>
      <c r="E697"/>
      <c r="F697"/>
      <c r="G697"/>
      <c r="H697"/>
      <c r="I697"/>
      <c r="J697"/>
      <c r="K697"/>
      <c r="L697"/>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row>
    <row r="698" spans="1:56" ht="63" customHeight="1" x14ac:dyDescent="0.2">
      <c r="A698" s="1"/>
      <c r="B698" s="8" t="s">
        <v>351</v>
      </c>
      <c r="C698" s="423" t="s">
        <v>599</v>
      </c>
      <c r="D698" s="440"/>
      <c r="E698"/>
      <c r="F698"/>
      <c r="G698"/>
      <c r="H698"/>
      <c r="I698"/>
      <c r="J698"/>
      <c r="K698"/>
      <c r="L698"/>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row>
    <row r="699" spans="1:56" ht="12" customHeight="1" x14ac:dyDescent="0.2">
      <c r="A699" s="1"/>
      <c r="B699" s="1"/>
      <c r="C699" s="410"/>
      <c r="D699" s="433"/>
      <c r="E699"/>
      <c r="F699"/>
      <c r="G699"/>
      <c r="H699"/>
      <c r="I699"/>
      <c r="J699"/>
      <c r="K699"/>
      <c r="L699"/>
      <c r="M699"/>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row>
    <row r="700" spans="1:56" ht="12" customHeight="1" x14ac:dyDescent="0.2">
      <c r="A700" s="1"/>
      <c r="B700" s="5" t="s">
        <v>66</v>
      </c>
      <c r="C700" s="415" t="s">
        <v>599</v>
      </c>
      <c r="D700" s="435"/>
      <c r="E700"/>
      <c r="F700"/>
      <c r="G700"/>
      <c r="H700"/>
      <c r="I700"/>
      <c r="J700"/>
      <c r="K700"/>
      <c r="L700"/>
      <c r="M700"/>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row>
    <row r="701" spans="1:56" ht="11.1" customHeight="1" x14ac:dyDescent="0.2">
      <c r="A701" s="1"/>
      <c r="B701" s="1"/>
      <c r="C701" s="410"/>
      <c r="D701" s="433"/>
      <c r="E701"/>
      <c r="F701"/>
      <c r="G701"/>
      <c r="H701"/>
      <c r="I701"/>
      <c r="J701"/>
      <c r="K701"/>
      <c r="L701"/>
      <c r="M701"/>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row>
    <row r="702" spans="1:56" ht="12" customHeight="1" x14ac:dyDescent="0.2">
      <c r="A702" s="6">
        <v>35</v>
      </c>
      <c r="B702" s="5" t="s">
        <v>352</v>
      </c>
      <c r="C702" s="412"/>
      <c r="D702" s="435"/>
      <c r="E702"/>
      <c r="F702"/>
      <c r="G702"/>
      <c r="H702"/>
      <c r="I702"/>
      <c r="J702"/>
      <c r="K702"/>
      <c r="L702"/>
      <c r="M702"/>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row>
    <row r="703" spans="1:56" ht="38.1" customHeight="1" x14ac:dyDescent="0.2">
      <c r="A703" s="1"/>
      <c r="B703" s="419" t="s">
        <v>683</v>
      </c>
      <c r="C703" s="420">
        <v>1000</v>
      </c>
      <c r="D703" s="442"/>
      <c r="E703"/>
      <c r="F703"/>
      <c r="G703"/>
      <c r="H703"/>
      <c r="I703"/>
      <c r="J703"/>
      <c r="K703"/>
      <c r="L703"/>
      <c r="M703"/>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row>
    <row r="704" spans="1:56" ht="11.1" customHeight="1" x14ac:dyDescent="0.2">
      <c r="A704" s="1"/>
      <c r="B704" s="1"/>
      <c r="C704" s="410"/>
      <c r="D704" s="433"/>
      <c r="E704"/>
      <c r="F704"/>
      <c r="G704"/>
      <c r="H704"/>
      <c r="I704"/>
      <c r="J704"/>
      <c r="K704"/>
      <c r="L704"/>
      <c r="M704"/>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row>
    <row r="705" spans="1:56" ht="12" customHeight="1" x14ac:dyDescent="0.2">
      <c r="A705" s="1"/>
      <c r="B705" s="5" t="s">
        <v>66</v>
      </c>
      <c r="C705" s="412">
        <f>C703</f>
        <v>1000</v>
      </c>
      <c r="D705" s="435">
        <f>C705</f>
        <v>1000</v>
      </c>
      <c r="E705"/>
      <c r="F705"/>
      <c r="G705"/>
      <c r="H705"/>
      <c r="I705"/>
      <c r="J705"/>
      <c r="K705"/>
      <c r="L705"/>
      <c r="M705"/>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row>
    <row r="706" spans="1:56" ht="11.1" customHeight="1" x14ac:dyDescent="0.2">
      <c r="A706" s="1"/>
      <c r="B706" s="1"/>
      <c r="C706" s="410"/>
      <c r="D706" s="433"/>
      <c r="E706"/>
      <c r="F706"/>
      <c r="G706"/>
      <c r="H706"/>
      <c r="I706"/>
      <c r="J706"/>
      <c r="K706"/>
      <c r="L706"/>
      <c r="M706"/>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row>
    <row r="707" spans="1:56" ht="12" customHeight="1" x14ac:dyDescent="0.2">
      <c r="A707" s="6">
        <v>36</v>
      </c>
      <c r="B707" s="5" t="s">
        <v>158</v>
      </c>
      <c r="C707" s="412"/>
      <c r="D707" s="435"/>
      <c r="E707"/>
      <c r="F707"/>
      <c r="G707"/>
      <c r="H707"/>
      <c r="I707"/>
      <c r="J707"/>
      <c r="K707"/>
      <c r="L707"/>
      <c r="M707"/>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row>
    <row r="708" spans="1:56" ht="48" customHeight="1" x14ac:dyDescent="0.2">
      <c r="A708" s="1"/>
      <c r="B708" s="8" t="s">
        <v>353</v>
      </c>
      <c r="C708" s="423" t="s">
        <v>599</v>
      </c>
      <c r="D708" s="440"/>
      <c r="E708"/>
      <c r="F708"/>
      <c r="G708"/>
      <c r="H708"/>
      <c r="I708"/>
      <c r="J708"/>
      <c r="K708"/>
      <c r="L708"/>
      <c r="M708"/>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row>
    <row r="709" spans="1:56" ht="11.1" customHeight="1" x14ac:dyDescent="0.2">
      <c r="A709" s="1"/>
      <c r="B709" s="1"/>
      <c r="C709" s="410"/>
      <c r="D709" s="433"/>
      <c r="E709"/>
      <c r="F709"/>
      <c r="G709"/>
      <c r="H709"/>
      <c r="I709"/>
      <c r="J709"/>
      <c r="K709"/>
      <c r="L709"/>
      <c r="M709"/>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row>
    <row r="710" spans="1:56" ht="12" customHeight="1" x14ac:dyDescent="0.2">
      <c r="A710" s="1"/>
      <c r="B710" s="5" t="s">
        <v>66</v>
      </c>
      <c r="C710" s="415" t="s">
        <v>599</v>
      </c>
      <c r="D710" s="435"/>
      <c r="E710"/>
      <c r="F710"/>
      <c r="G710"/>
      <c r="H710"/>
      <c r="I710"/>
      <c r="J710"/>
      <c r="K710"/>
      <c r="L710"/>
      <c r="M710"/>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row>
    <row r="711" spans="1:56" ht="11.1" customHeight="1" x14ac:dyDescent="0.2">
      <c r="A711" s="1"/>
      <c r="B711" s="1"/>
      <c r="C711" s="410"/>
      <c r="D711" s="433"/>
      <c r="E711"/>
      <c r="F711"/>
      <c r="G711"/>
      <c r="H711"/>
      <c r="I711"/>
      <c r="J711"/>
      <c r="K711"/>
      <c r="L711"/>
      <c r="M711"/>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row>
    <row r="712" spans="1:56" ht="12" customHeight="1" x14ac:dyDescent="0.2">
      <c r="A712" s="6">
        <v>37</v>
      </c>
      <c r="B712" s="5" t="s">
        <v>354</v>
      </c>
      <c r="C712" s="412"/>
      <c r="D712" s="435"/>
      <c r="E712"/>
      <c r="F712"/>
      <c r="G712"/>
      <c r="H712"/>
      <c r="I712"/>
      <c r="J712"/>
      <c r="K712"/>
      <c r="L712"/>
      <c r="M712"/>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row>
    <row r="713" spans="1:56" ht="24.95" customHeight="1" x14ac:dyDescent="0.2">
      <c r="A713" s="1"/>
      <c r="B713" s="8" t="s">
        <v>355</v>
      </c>
      <c r="C713" s="414">
        <v>15000</v>
      </c>
      <c r="D713" s="438">
        <f>C713</f>
        <v>15000</v>
      </c>
      <c r="E713"/>
      <c r="F713"/>
      <c r="G713"/>
      <c r="H713"/>
      <c r="I713"/>
      <c r="J713"/>
      <c r="K713"/>
      <c r="L713"/>
      <c r="M713"/>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row>
    <row r="714" spans="1:56" ht="11.1" customHeight="1" x14ac:dyDescent="0.2">
      <c r="A714" s="1"/>
      <c r="B714" s="1"/>
      <c r="C714" s="410"/>
      <c r="D714" s="433"/>
      <c r="E714"/>
      <c r="F714"/>
      <c r="G714"/>
      <c r="H714"/>
      <c r="I714"/>
      <c r="J714"/>
      <c r="K714"/>
      <c r="L714"/>
      <c r="M714"/>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row>
    <row r="715" spans="1:56" ht="11.1" customHeight="1" x14ac:dyDescent="0.2">
      <c r="A715" s="1"/>
      <c r="B715" s="12" t="s">
        <v>356</v>
      </c>
      <c r="C715" s="417"/>
      <c r="D715" s="443"/>
      <c r="E715"/>
      <c r="F715"/>
      <c r="G715"/>
      <c r="H715"/>
      <c r="I715"/>
      <c r="J715"/>
      <c r="K715"/>
      <c r="L715"/>
      <c r="M715"/>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row>
    <row r="723" spans="3:4" x14ac:dyDescent="0.2">
      <c r="C723" s="418">
        <f>SUM(C7:C722)</f>
        <v>696399.52444444445</v>
      </c>
      <c r="D723" s="418">
        <f>SUM(D7:D722)</f>
        <v>355699.76222222223</v>
      </c>
    </row>
  </sheetData>
  <mergeCells count="2">
    <mergeCell ref="A21:A23"/>
    <mergeCell ref="A24:A30"/>
  </mergeCells>
  <hyperlinks>
    <hyperlink ref="B273" r:id="rId1" display="http://www.reddiseals.com/" xr:uid="{00000000-0004-0000-0000-000000000000}"/>
  </hyperlinks>
  <pageMargins left="0.7" right="0.7" top="0.75" bottom="0.75" header="0.3" footer="0.3"/>
  <pageSetup paperSize="9" scale="96" orientation="portrait" r:id="rId2"/>
  <rowBreaks count="2" manualBreakCount="2">
    <brk id="63" max="2" man="1"/>
    <brk id="643" max="2" man="1"/>
  </rowBreaks>
  <colBreaks count="1" manualBreakCount="1">
    <brk id="4" max="744" man="1"/>
  </colBreak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CA775-80A3-45B0-8C62-FD69A50A6159}">
  <sheetPr>
    <pageSetUpPr fitToPage="1"/>
  </sheetPr>
  <dimension ref="A1:V88"/>
  <sheetViews>
    <sheetView view="pageBreakPreview" zoomScale="85" zoomScaleNormal="70" zoomScaleSheetLayoutView="85" workbookViewId="0">
      <selection activeCell="G2" sqref="G2"/>
    </sheetView>
  </sheetViews>
  <sheetFormatPr defaultRowHeight="12.75" x14ac:dyDescent="0.2"/>
  <cols>
    <col min="1" max="1" width="2.5" style="99" customWidth="1"/>
    <col min="2" max="2" width="11.1640625" style="106" customWidth="1"/>
    <col min="3" max="3" width="66.1640625" style="210" customWidth="1"/>
    <col min="4" max="4" width="22.33203125" style="211" customWidth="1"/>
    <col min="5" max="5" width="12.33203125" style="212" customWidth="1"/>
    <col min="6" max="6" width="12.5" style="212" customWidth="1"/>
    <col min="7" max="7" width="15.6640625" style="215" customWidth="1"/>
    <col min="8" max="8" width="25" style="214" bestFit="1" customWidth="1"/>
    <col min="9" max="9" width="3.83203125" style="99" customWidth="1"/>
    <col min="10" max="10" width="4" style="99" customWidth="1"/>
    <col min="11" max="22" width="9.33203125" style="99"/>
    <col min="23" max="256" width="9.33203125" style="106"/>
    <col min="257" max="257" width="2.5" style="106" customWidth="1"/>
    <col min="258" max="258" width="11.1640625" style="106" customWidth="1"/>
    <col min="259" max="259" width="66.1640625" style="106" customWidth="1"/>
    <col min="260" max="260" width="22.33203125" style="106" customWidth="1"/>
    <col min="261" max="261" width="12.33203125" style="106" customWidth="1"/>
    <col min="262" max="262" width="12.5" style="106" customWidth="1"/>
    <col min="263" max="263" width="14.5" style="106" customWidth="1"/>
    <col min="264" max="264" width="25" style="106" bestFit="1" customWidth="1"/>
    <col min="265" max="265" width="3.83203125" style="106" customWidth="1"/>
    <col min="266" max="266" width="4" style="106" customWidth="1"/>
    <col min="267" max="512" width="9.33203125" style="106"/>
    <col min="513" max="513" width="2.5" style="106" customWidth="1"/>
    <col min="514" max="514" width="11.1640625" style="106" customWidth="1"/>
    <col min="515" max="515" width="66.1640625" style="106" customWidth="1"/>
    <col min="516" max="516" width="22.33203125" style="106" customWidth="1"/>
    <col min="517" max="517" width="12.33203125" style="106" customWidth="1"/>
    <col min="518" max="518" width="12.5" style="106" customWidth="1"/>
    <col min="519" max="519" width="14.5" style="106" customWidth="1"/>
    <col min="520" max="520" width="25" style="106" bestFit="1" customWidth="1"/>
    <col min="521" max="521" width="3.83203125" style="106" customWidth="1"/>
    <col min="522" max="522" width="4" style="106" customWidth="1"/>
    <col min="523" max="768" width="9.33203125" style="106"/>
    <col min="769" max="769" width="2.5" style="106" customWidth="1"/>
    <col min="770" max="770" width="11.1640625" style="106" customWidth="1"/>
    <col min="771" max="771" width="66.1640625" style="106" customWidth="1"/>
    <col min="772" max="772" width="22.33203125" style="106" customWidth="1"/>
    <col min="773" max="773" width="12.33203125" style="106" customWidth="1"/>
    <col min="774" max="774" width="12.5" style="106" customWidth="1"/>
    <col min="775" max="775" width="14.5" style="106" customWidth="1"/>
    <col min="776" max="776" width="25" style="106" bestFit="1" customWidth="1"/>
    <col min="777" max="777" width="3.83203125" style="106" customWidth="1"/>
    <col min="778" max="778" width="4" style="106" customWidth="1"/>
    <col min="779" max="1024" width="9.33203125" style="106"/>
    <col min="1025" max="1025" width="2.5" style="106" customWidth="1"/>
    <col min="1026" max="1026" width="11.1640625" style="106" customWidth="1"/>
    <col min="1027" max="1027" width="66.1640625" style="106" customWidth="1"/>
    <col min="1028" max="1028" width="22.33203125" style="106" customWidth="1"/>
    <col min="1029" max="1029" width="12.33203125" style="106" customWidth="1"/>
    <col min="1030" max="1030" width="12.5" style="106" customWidth="1"/>
    <col min="1031" max="1031" width="14.5" style="106" customWidth="1"/>
    <col min="1032" max="1032" width="25" style="106" bestFit="1" customWidth="1"/>
    <col min="1033" max="1033" width="3.83203125" style="106" customWidth="1"/>
    <col min="1034" max="1034" width="4" style="106" customWidth="1"/>
    <col min="1035" max="1280" width="9.33203125" style="106"/>
    <col min="1281" max="1281" width="2.5" style="106" customWidth="1"/>
    <col min="1282" max="1282" width="11.1640625" style="106" customWidth="1"/>
    <col min="1283" max="1283" width="66.1640625" style="106" customWidth="1"/>
    <col min="1284" max="1284" width="22.33203125" style="106" customWidth="1"/>
    <col min="1285" max="1285" width="12.33203125" style="106" customWidth="1"/>
    <col min="1286" max="1286" width="12.5" style="106" customWidth="1"/>
    <col min="1287" max="1287" width="14.5" style="106" customWidth="1"/>
    <col min="1288" max="1288" width="25" style="106" bestFit="1" customWidth="1"/>
    <col min="1289" max="1289" width="3.83203125" style="106" customWidth="1"/>
    <col min="1290" max="1290" width="4" style="106" customWidth="1"/>
    <col min="1291" max="1536" width="9.33203125" style="106"/>
    <col min="1537" max="1537" width="2.5" style="106" customWidth="1"/>
    <col min="1538" max="1538" width="11.1640625" style="106" customWidth="1"/>
    <col min="1539" max="1539" width="66.1640625" style="106" customWidth="1"/>
    <col min="1540" max="1540" width="22.33203125" style="106" customWidth="1"/>
    <col min="1541" max="1541" width="12.33203125" style="106" customWidth="1"/>
    <col min="1542" max="1542" width="12.5" style="106" customWidth="1"/>
    <col min="1543" max="1543" width="14.5" style="106" customWidth="1"/>
    <col min="1544" max="1544" width="25" style="106" bestFit="1" customWidth="1"/>
    <col min="1545" max="1545" width="3.83203125" style="106" customWidth="1"/>
    <col min="1546" max="1546" width="4" style="106" customWidth="1"/>
    <col min="1547" max="1792" width="9.33203125" style="106"/>
    <col min="1793" max="1793" width="2.5" style="106" customWidth="1"/>
    <col min="1794" max="1794" width="11.1640625" style="106" customWidth="1"/>
    <col min="1795" max="1795" width="66.1640625" style="106" customWidth="1"/>
    <col min="1796" max="1796" width="22.33203125" style="106" customWidth="1"/>
    <col min="1797" max="1797" width="12.33203125" style="106" customWidth="1"/>
    <col min="1798" max="1798" width="12.5" style="106" customWidth="1"/>
    <col min="1799" max="1799" width="14.5" style="106" customWidth="1"/>
    <col min="1800" max="1800" width="25" style="106" bestFit="1" customWidth="1"/>
    <col min="1801" max="1801" width="3.83203125" style="106" customWidth="1"/>
    <col min="1802" max="1802" width="4" style="106" customWidth="1"/>
    <col min="1803" max="2048" width="9.33203125" style="106"/>
    <col min="2049" max="2049" width="2.5" style="106" customWidth="1"/>
    <col min="2050" max="2050" width="11.1640625" style="106" customWidth="1"/>
    <col min="2051" max="2051" width="66.1640625" style="106" customWidth="1"/>
    <col min="2052" max="2052" width="22.33203125" style="106" customWidth="1"/>
    <col min="2053" max="2053" width="12.33203125" style="106" customWidth="1"/>
    <col min="2054" max="2054" width="12.5" style="106" customWidth="1"/>
    <col min="2055" max="2055" width="14.5" style="106" customWidth="1"/>
    <col min="2056" max="2056" width="25" style="106" bestFit="1" customWidth="1"/>
    <col min="2057" max="2057" width="3.83203125" style="106" customWidth="1"/>
    <col min="2058" max="2058" width="4" style="106" customWidth="1"/>
    <col min="2059" max="2304" width="9.33203125" style="106"/>
    <col min="2305" max="2305" width="2.5" style="106" customWidth="1"/>
    <col min="2306" max="2306" width="11.1640625" style="106" customWidth="1"/>
    <col min="2307" max="2307" width="66.1640625" style="106" customWidth="1"/>
    <col min="2308" max="2308" width="22.33203125" style="106" customWidth="1"/>
    <col min="2309" max="2309" width="12.33203125" style="106" customWidth="1"/>
    <col min="2310" max="2310" width="12.5" style="106" customWidth="1"/>
    <col min="2311" max="2311" width="14.5" style="106" customWidth="1"/>
    <col min="2312" max="2312" width="25" style="106" bestFit="1" customWidth="1"/>
    <col min="2313" max="2313" width="3.83203125" style="106" customWidth="1"/>
    <col min="2314" max="2314" width="4" style="106" customWidth="1"/>
    <col min="2315" max="2560" width="9.33203125" style="106"/>
    <col min="2561" max="2561" width="2.5" style="106" customWidth="1"/>
    <col min="2562" max="2562" width="11.1640625" style="106" customWidth="1"/>
    <col min="2563" max="2563" width="66.1640625" style="106" customWidth="1"/>
    <col min="2564" max="2564" width="22.33203125" style="106" customWidth="1"/>
    <col min="2565" max="2565" width="12.33203125" style="106" customWidth="1"/>
    <col min="2566" max="2566" width="12.5" style="106" customWidth="1"/>
    <col min="2567" max="2567" width="14.5" style="106" customWidth="1"/>
    <col min="2568" max="2568" width="25" style="106" bestFit="1" customWidth="1"/>
    <col min="2569" max="2569" width="3.83203125" style="106" customWidth="1"/>
    <col min="2570" max="2570" width="4" style="106" customWidth="1"/>
    <col min="2571" max="2816" width="9.33203125" style="106"/>
    <col min="2817" max="2817" width="2.5" style="106" customWidth="1"/>
    <col min="2818" max="2818" width="11.1640625" style="106" customWidth="1"/>
    <col min="2819" max="2819" width="66.1640625" style="106" customWidth="1"/>
    <col min="2820" max="2820" width="22.33203125" style="106" customWidth="1"/>
    <col min="2821" max="2821" width="12.33203125" style="106" customWidth="1"/>
    <col min="2822" max="2822" width="12.5" style="106" customWidth="1"/>
    <col min="2823" max="2823" width="14.5" style="106" customWidth="1"/>
    <col min="2824" max="2824" width="25" style="106" bestFit="1" customWidth="1"/>
    <col min="2825" max="2825" width="3.83203125" style="106" customWidth="1"/>
    <col min="2826" max="2826" width="4" style="106" customWidth="1"/>
    <col min="2827" max="3072" width="9.33203125" style="106"/>
    <col min="3073" max="3073" width="2.5" style="106" customWidth="1"/>
    <col min="3074" max="3074" width="11.1640625" style="106" customWidth="1"/>
    <col min="3075" max="3075" width="66.1640625" style="106" customWidth="1"/>
    <col min="3076" max="3076" width="22.33203125" style="106" customWidth="1"/>
    <col min="3077" max="3077" width="12.33203125" style="106" customWidth="1"/>
    <col min="3078" max="3078" width="12.5" style="106" customWidth="1"/>
    <col min="3079" max="3079" width="14.5" style="106" customWidth="1"/>
    <col min="3080" max="3080" width="25" style="106" bestFit="1" customWidth="1"/>
    <col min="3081" max="3081" width="3.83203125" style="106" customWidth="1"/>
    <col min="3082" max="3082" width="4" style="106" customWidth="1"/>
    <col min="3083" max="3328" width="9.33203125" style="106"/>
    <col min="3329" max="3329" width="2.5" style="106" customWidth="1"/>
    <col min="3330" max="3330" width="11.1640625" style="106" customWidth="1"/>
    <col min="3331" max="3331" width="66.1640625" style="106" customWidth="1"/>
    <col min="3332" max="3332" width="22.33203125" style="106" customWidth="1"/>
    <col min="3333" max="3333" width="12.33203125" style="106" customWidth="1"/>
    <col min="3334" max="3334" width="12.5" style="106" customWidth="1"/>
    <col min="3335" max="3335" width="14.5" style="106" customWidth="1"/>
    <col min="3336" max="3336" width="25" style="106" bestFit="1" customWidth="1"/>
    <col min="3337" max="3337" width="3.83203125" style="106" customWidth="1"/>
    <col min="3338" max="3338" width="4" style="106" customWidth="1"/>
    <col min="3339" max="3584" width="9.33203125" style="106"/>
    <col min="3585" max="3585" width="2.5" style="106" customWidth="1"/>
    <col min="3586" max="3586" width="11.1640625" style="106" customWidth="1"/>
    <col min="3587" max="3587" width="66.1640625" style="106" customWidth="1"/>
    <col min="3588" max="3588" width="22.33203125" style="106" customWidth="1"/>
    <col min="3589" max="3589" width="12.33203125" style="106" customWidth="1"/>
    <col min="3590" max="3590" width="12.5" style="106" customWidth="1"/>
    <col min="3591" max="3591" width="14.5" style="106" customWidth="1"/>
    <col min="3592" max="3592" width="25" style="106" bestFit="1" customWidth="1"/>
    <col min="3593" max="3593" width="3.83203125" style="106" customWidth="1"/>
    <col min="3594" max="3594" width="4" style="106" customWidth="1"/>
    <col min="3595" max="3840" width="9.33203125" style="106"/>
    <col min="3841" max="3841" width="2.5" style="106" customWidth="1"/>
    <col min="3842" max="3842" width="11.1640625" style="106" customWidth="1"/>
    <col min="3843" max="3843" width="66.1640625" style="106" customWidth="1"/>
    <col min="3844" max="3844" width="22.33203125" style="106" customWidth="1"/>
    <col min="3845" max="3845" width="12.33203125" style="106" customWidth="1"/>
    <col min="3846" max="3846" width="12.5" style="106" customWidth="1"/>
    <col min="3847" max="3847" width="14.5" style="106" customWidth="1"/>
    <col min="3848" max="3848" width="25" style="106" bestFit="1" customWidth="1"/>
    <col min="3849" max="3849" width="3.83203125" style="106" customWidth="1"/>
    <col min="3850" max="3850" width="4" style="106" customWidth="1"/>
    <col min="3851" max="4096" width="9.33203125" style="106"/>
    <col min="4097" max="4097" width="2.5" style="106" customWidth="1"/>
    <col min="4098" max="4098" width="11.1640625" style="106" customWidth="1"/>
    <col min="4099" max="4099" width="66.1640625" style="106" customWidth="1"/>
    <col min="4100" max="4100" width="22.33203125" style="106" customWidth="1"/>
    <col min="4101" max="4101" width="12.33203125" style="106" customWidth="1"/>
    <col min="4102" max="4102" width="12.5" style="106" customWidth="1"/>
    <col min="4103" max="4103" width="14.5" style="106" customWidth="1"/>
    <col min="4104" max="4104" width="25" style="106" bestFit="1" customWidth="1"/>
    <col min="4105" max="4105" width="3.83203125" style="106" customWidth="1"/>
    <col min="4106" max="4106" width="4" style="106" customWidth="1"/>
    <col min="4107" max="4352" width="9.33203125" style="106"/>
    <col min="4353" max="4353" width="2.5" style="106" customWidth="1"/>
    <col min="4354" max="4354" width="11.1640625" style="106" customWidth="1"/>
    <col min="4355" max="4355" width="66.1640625" style="106" customWidth="1"/>
    <col min="4356" max="4356" width="22.33203125" style="106" customWidth="1"/>
    <col min="4357" max="4357" width="12.33203125" style="106" customWidth="1"/>
    <col min="4358" max="4358" width="12.5" style="106" customWidth="1"/>
    <col min="4359" max="4359" width="14.5" style="106" customWidth="1"/>
    <col min="4360" max="4360" width="25" style="106" bestFit="1" customWidth="1"/>
    <col min="4361" max="4361" width="3.83203125" style="106" customWidth="1"/>
    <col min="4362" max="4362" width="4" style="106" customWidth="1"/>
    <col min="4363" max="4608" width="9.33203125" style="106"/>
    <col min="4609" max="4609" width="2.5" style="106" customWidth="1"/>
    <col min="4610" max="4610" width="11.1640625" style="106" customWidth="1"/>
    <col min="4611" max="4611" width="66.1640625" style="106" customWidth="1"/>
    <col min="4612" max="4612" width="22.33203125" style="106" customWidth="1"/>
    <col min="4613" max="4613" width="12.33203125" style="106" customWidth="1"/>
    <col min="4614" max="4614" width="12.5" style="106" customWidth="1"/>
    <col min="4615" max="4615" width="14.5" style="106" customWidth="1"/>
    <col min="4616" max="4616" width="25" style="106" bestFit="1" customWidth="1"/>
    <col min="4617" max="4617" width="3.83203125" style="106" customWidth="1"/>
    <col min="4618" max="4618" width="4" style="106" customWidth="1"/>
    <col min="4619" max="4864" width="9.33203125" style="106"/>
    <col min="4865" max="4865" width="2.5" style="106" customWidth="1"/>
    <col min="4866" max="4866" width="11.1640625" style="106" customWidth="1"/>
    <col min="4867" max="4867" width="66.1640625" style="106" customWidth="1"/>
    <col min="4868" max="4868" width="22.33203125" style="106" customWidth="1"/>
    <col min="4869" max="4869" width="12.33203125" style="106" customWidth="1"/>
    <col min="4870" max="4870" width="12.5" style="106" customWidth="1"/>
    <col min="4871" max="4871" width="14.5" style="106" customWidth="1"/>
    <col min="4872" max="4872" width="25" style="106" bestFit="1" customWidth="1"/>
    <col min="4873" max="4873" width="3.83203125" style="106" customWidth="1"/>
    <col min="4874" max="4874" width="4" style="106" customWidth="1"/>
    <col min="4875" max="5120" width="9.33203125" style="106"/>
    <col min="5121" max="5121" width="2.5" style="106" customWidth="1"/>
    <col min="5122" max="5122" width="11.1640625" style="106" customWidth="1"/>
    <col min="5123" max="5123" width="66.1640625" style="106" customWidth="1"/>
    <col min="5124" max="5124" width="22.33203125" style="106" customWidth="1"/>
    <col min="5125" max="5125" width="12.33203125" style="106" customWidth="1"/>
    <col min="5126" max="5126" width="12.5" style="106" customWidth="1"/>
    <col min="5127" max="5127" width="14.5" style="106" customWidth="1"/>
    <col min="5128" max="5128" width="25" style="106" bestFit="1" customWidth="1"/>
    <col min="5129" max="5129" width="3.83203125" style="106" customWidth="1"/>
    <col min="5130" max="5130" width="4" style="106" customWidth="1"/>
    <col min="5131" max="5376" width="9.33203125" style="106"/>
    <col min="5377" max="5377" width="2.5" style="106" customWidth="1"/>
    <col min="5378" max="5378" width="11.1640625" style="106" customWidth="1"/>
    <col min="5379" max="5379" width="66.1640625" style="106" customWidth="1"/>
    <col min="5380" max="5380" width="22.33203125" style="106" customWidth="1"/>
    <col min="5381" max="5381" width="12.33203125" style="106" customWidth="1"/>
    <col min="5382" max="5382" width="12.5" style="106" customWidth="1"/>
    <col min="5383" max="5383" width="14.5" style="106" customWidth="1"/>
    <col min="5384" max="5384" width="25" style="106" bestFit="1" customWidth="1"/>
    <col min="5385" max="5385" width="3.83203125" style="106" customWidth="1"/>
    <col min="5386" max="5386" width="4" style="106" customWidth="1"/>
    <col min="5387" max="5632" width="9.33203125" style="106"/>
    <col min="5633" max="5633" width="2.5" style="106" customWidth="1"/>
    <col min="5634" max="5634" width="11.1640625" style="106" customWidth="1"/>
    <col min="5635" max="5635" width="66.1640625" style="106" customWidth="1"/>
    <col min="5636" max="5636" width="22.33203125" style="106" customWidth="1"/>
    <col min="5637" max="5637" width="12.33203125" style="106" customWidth="1"/>
    <col min="5638" max="5638" width="12.5" style="106" customWidth="1"/>
    <col min="5639" max="5639" width="14.5" style="106" customWidth="1"/>
    <col min="5640" max="5640" width="25" style="106" bestFit="1" customWidth="1"/>
    <col min="5641" max="5641" width="3.83203125" style="106" customWidth="1"/>
    <col min="5642" max="5642" width="4" style="106" customWidth="1"/>
    <col min="5643" max="5888" width="9.33203125" style="106"/>
    <col min="5889" max="5889" width="2.5" style="106" customWidth="1"/>
    <col min="5890" max="5890" width="11.1640625" style="106" customWidth="1"/>
    <col min="5891" max="5891" width="66.1640625" style="106" customWidth="1"/>
    <col min="5892" max="5892" width="22.33203125" style="106" customWidth="1"/>
    <col min="5893" max="5893" width="12.33203125" style="106" customWidth="1"/>
    <col min="5894" max="5894" width="12.5" style="106" customWidth="1"/>
    <col min="5895" max="5895" width="14.5" style="106" customWidth="1"/>
    <col min="5896" max="5896" width="25" style="106" bestFit="1" customWidth="1"/>
    <col min="5897" max="5897" width="3.83203125" style="106" customWidth="1"/>
    <col min="5898" max="5898" width="4" style="106" customWidth="1"/>
    <col min="5899" max="6144" width="9.33203125" style="106"/>
    <col min="6145" max="6145" width="2.5" style="106" customWidth="1"/>
    <col min="6146" max="6146" width="11.1640625" style="106" customWidth="1"/>
    <col min="6147" max="6147" width="66.1640625" style="106" customWidth="1"/>
    <col min="6148" max="6148" width="22.33203125" style="106" customWidth="1"/>
    <col min="6149" max="6149" width="12.33203125" style="106" customWidth="1"/>
    <col min="6150" max="6150" width="12.5" style="106" customWidth="1"/>
    <col min="6151" max="6151" width="14.5" style="106" customWidth="1"/>
    <col min="6152" max="6152" width="25" style="106" bestFit="1" customWidth="1"/>
    <col min="6153" max="6153" width="3.83203125" style="106" customWidth="1"/>
    <col min="6154" max="6154" width="4" style="106" customWidth="1"/>
    <col min="6155" max="6400" width="9.33203125" style="106"/>
    <col min="6401" max="6401" width="2.5" style="106" customWidth="1"/>
    <col min="6402" max="6402" width="11.1640625" style="106" customWidth="1"/>
    <col min="6403" max="6403" width="66.1640625" style="106" customWidth="1"/>
    <col min="6404" max="6404" width="22.33203125" style="106" customWidth="1"/>
    <col min="6405" max="6405" width="12.33203125" style="106" customWidth="1"/>
    <col min="6406" max="6406" width="12.5" style="106" customWidth="1"/>
    <col min="6407" max="6407" width="14.5" style="106" customWidth="1"/>
    <col min="6408" max="6408" width="25" style="106" bestFit="1" customWidth="1"/>
    <col min="6409" max="6409" width="3.83203125" style="106" customWidth="1"/>
    <col min="6410" max="6410" width="4" style="106" customWidth="1"/>
    <col min="6411" max="6656" width="9.33203125" style="106"/>
    <col min="6657" max="6657" width="2.5" style="106" customWidth="1"/>
    <col min="6658" max="6658" width="11.1640625" style="106" customWidth="1"/>
    <col min="6659" max="6659" width="66.1640625" style="106" customWidth="1"/>
    <col min="6660" max="6660" width="22.33203125" style="106" customWidth="1"/>
    <col min="6661" max="6661" width="12.33203125" style="106" customWidth="1"/>
    <col min="6662" max="6662" width="12.5" style="106" customWidth="1"/>
    <col min="6663" max="6663" width="14.5" style="106" customWidth="1"/>
    <col min="6664" max="6664" width="25" style="106" bestFit="1" customWidth="1"/>
    <col min="6665" max="6665" width="3.83203125" style="106" customWidth="1"/>
    <col min="6666" max="6666" width="4" style="106" customWidth="1"/>
    <col min="6667" max="6912" width="9.33203125" style="106"/>
    <col min="6913" max="6913" width="2.5" style="106" customWidth="1"/>
    <col min="6914" max="6914" width="11.1640625" style="106" customWidth="1"/>
    <col min="6915" max="6915" width="66.1640625" style="106" customWidth="1"/>
    <col min="6916" max="6916" width="22.33203125" style="106" customWidth="1"/>
    <col min="6917" max="6917" width="12.33203125" style="106" customWidth="1"/>
    <col min="6918" max="6918" width="12.5" style="106" customWidth="1"/>
    <col min="6919" max="6919" width="14.5" style="106" customWidth="1"/>
    <col min="6920" max="6920" width="25" style="106" bestFit="1" customWidth="1"/>
    <col min="6921" max="6921" width="3.83203125" style="106" customWidth="1"/>
    <col min="6922" max="6922" width="4" style="106" customWidth="1"/>
    <col min="6923" max="7168" width="9.33203125" style="106"/>
    <col min="7169" max="7169" width="2.5" style="106" customWidth="1"/>
    <col min="7170" max="7170" width="11.1640625" style="106" customWidth="1"/>
    <col min="7171" max="7171" width="66.1640625" style="106" customWidth="1"/>
    <col min="7172" max="7172" width="22.33203125" style="106" customWidth="1"/>
    <col min="7173" max="7173" width="12.33203125" style="106" customWidth="1"/>
    <col min="7174" max="7174" width="12.5" style="106" customWidth="1"/>
    <col min="7175" max="7175" width="14.5" style="106" customWidth="1"/>
    <col min="7176" max="7176" width="25" style="106" bestFit="1" customWidth="1"/>
    <col min="7177" max="7177" width="3.83203125" style="106" customWidth="1"/>
    <col min="7178" max="7178" width="4" style="106" customWidth="1"/>
    <col min="7179" max="7424" width="9.33203125" style="106"/>
    <col min="7425" max="7425" width="2.5" style="106" customWidth="1"/>
    <col min="7426" max="7426" width="11.1640625" style="106" customWidth="1"/>
    <col min="7427" max="7427" width="66.1640625" style="106" customWidth="1"/>
    <col min="7428" max="7428" width="22.33203125" style="106" customWidth="1"/>
    <col min="7429" max="7429" width="12.33203125" style="106" customWidth="1"/>
    <col min="7430" max="7430" width="12.5" style="106" customWidth="1"/>
    <col min="7431" max="7431" width="14.5" style="106" customWidth="1"/>
    <col min="7432" max="7432" width="25" style="106" bestFit="1" customWidth="1"/>
    <col min="7433" max="7433" width="3.83203125" style="106" customWidth="1"/>
    <col min="7434" max="7434" width="4" style="106" customWidth="1"/>
    <col min="7435" max="7680" width="9.33203125" style="106"/>
    <col min="7681" max="7681" width="2.5" style="106" customWidth="1"/>
    <col min="7682" max="7682" width="11.1640625" style="106" customWidth="1"/>
    <col min="7683" max="7683" width="66.1640625" style="106" customWidth="1"/>
    <col min="7684" max="7684" width="22.33203125" style="106" customWidth="1"/>
    <col min="7685" max="7685" width="12.33203125" style="106" customWidth="1"/>
    <col min="7686" max="7686" width="12.5" style="106" customWidth="1"/>
    <col min="7687" max="7687" width="14.5" style="106" customWidth="1"/>
    <col min="7688" max="7688" width="25" style="106" bestFit="1" customWidth="1"/>
    <col min="7689" max="7689" width="3.83203125" style="106" customWidth="1"/>
    <col min="7690" max="7690" width="4" style="106" customWidth="1"/>
    <col min="7691" max="7936" width="9.33203125" style="106"/>
    <col min="7937" max="7937" width="2.5" style="106" customWidth="1"/>
    <col min="7938" max="7938" width="11.1640625" style="106" customWidth="1"/>
    <col min="7939" max="7939" width="66.1640625" style="106" customWidth="1"/>
    <col min="7940" max="7940" width="22.33203125" style="106" customWidth="1"/>
    <col min="7941" max="7941" width="12.33203125" style="106" customWidth="1"/>
    <col min="7942" max="7942" width="12.5" style="106" customWidth="1"/>
    <col min="7943" max="7943" width="14.5" style="106" customWidth="1"/>
    <col min="7944" max="7944" width="25" style="106" bestFit="1" customWidth="1"/>
    <col min="7945" max="7945" width="3.83203125" style="106" customWidth="1"/>
    <col min="7946" max="7946" width="4" style="106" customWidth="1"/>
    <col min="7947" max="8192" width="9.33203125" style="106"/>
    <col min="8193" max="8193" width="2.5" style="106" customWidth="1"/>
    <col min="8194" max="8194" width="11.1640625" style="106" customWidth="1"/>
    <col min="8195" max="8195" width="66.1640625" style="106" customWidth="1"/>
    <col min="8196" max="8196" width="22.33203125" style="106" customWidth="1"/>
    <col min="8197" max="8197" width="12.33203125" style="106" customWidth="1"/>
    <col min="8198" max="8198" width="12.5" style="106" customWidth="1"/>
    <col min="8199" max="8199" width="14.5" style="106" customWidth="1"/>
    <col min="8200" max="8200" width="25" style="106" bestFit="1" customWidth="1"/>
    <col min="8201" max="8201" width="3.83203125" style="106" customWidth="1"/>
    <col min="8202" max="8202" width="4" style="106" customWidth="1"/>
    <col min="8203" max="8448" width="9.33203125" style="106"/>
    <col min="8449" max="8449" width="2.5" style="106" customWidth="1"/>
    <col min="8450" max="8450" width="11.1640625" style="106" customWidth="1"/>
    <col min="8451" max="8451" width="66.1640625" style="106" customWidth="1"/>
    <col min="8452" max="8452" width="22.33203125" style="106" customWidth="1"/>
    <col min="8453" max="8453" width="12.33203125" style="106" customWidth="1"/>
    <col min="8454" max="8454" width="12.5" style="106" customWidth="1"/>
    <col min="8455" max="8455" width="14.5" style="106" customWidth="1"/>
    <col min="8456" max="8456" width="25" style="106" bestFit="1" customWidth="1"/>
    <col min="8457" max="8457" width="3.83203125" style="106" customWidth="1"/>
    <col min="8458" max="8458" width="4" style="106" customWidth="1"/>
    <col min="8459" max="8704" width="9.33203125" style="106"/>
    <col min="8705" max="8705" width="2.5" style="106" customWidth="1"/>
    <col min="8706" max="8706" width="11.1640625" style="106" customWidth="1"/>
    <col min="8707" max="8707" width="66.1640625" style="106" customWidth="1"/>
    <col min="8708" max="8708" width="22.33203125" style="106" customWidth="1"/>
    <col min="8709" max="8709" width="12.33203125" style="106" customWidth="1"/>
    <col min="8710" max="8710" width="12.5" style="106" customWidth="1"/>
    <col min="8711" max="8711" width="14.5" style="106" customWidth="1"/>
    <col min="8712" max="8712" width="25" style="106" bestFit="1" customWidth="1"/>
    <col min="8713" max="8713" width="3.83203125" style="106" customWidth="1"/>
    <col min="8714" max="8714" width="4" style="106" customWidth="1"/>
    <col min="8715" max="8960" width="9.33203125" style="106"/>
    <col min="8961" max="8961" width="2.5" style="106" customWidth="1"/>
    <col min="8962" max="8962" width="11.1640625" style="106" customWidth="1"/>
    <col min="8963" max="8963" width="66.1640625" style="106" customWidth="1"/>
    <col min="8964" max="8964" width="22.33203125" style="106" customWidth="1"/>
    <col min="8965" max="8965" width="12.33203125" style="106" customWidth="1"/>
    <col min="8966" max="8966" width="12.5" style="106" customWidth="1"/>
    <col min="8967" max="8967" width="14.5" style="106" customWidth="1"/>
    <col min="8968" max="8968" width="25" style="106" bestFit="1" customWidth="1"/>
    <col min="8969" max="8969" width="3.83203125" style="106" customWidth="1"/>
    <col min="8970" max="8970" width="4" style="106" customWidth="1"/>
    <col min="8971" max="9216" width="9.33203125" style="106"/>
    <col min="9217" max="9217" width="2.5" style="106" customWidth="1"/>
    <col min="9218" max="9218" width="11.1640625" style="106" customWidth="1"/>
    <col min="9219" max="9219" width="66.1640625" style="106" customWidth="1"/>
    <col min="9220" max="9220" width="22.33203125" style="106" customWidth="1"/>
    <col min="9221" max="9221" width="12.33203125" style="106" customWidth="1"/>
    <col min="9222" max="9222" width="12.5" style="106" customWidth="1"/>
    <col min="9223" max="9223" width="14.5" style="106" customWidth="1"/>
    <col min="9224" max="9224" width="25" style="106" bestFit="1" customWidth="1"/>
    <col min="9225" max="9225" width="3.83203125" style="106" customWidth="1"/>
    <col min="9226" max="9226" width="4" style="106" customWidth="1"/>
    <col min="9227" max="9472" width="9.33203125" style="106"/>
    <col min="9473" max="9473" width="2.5" style="106" customWidth="1"/>
    <col min="9474" max="9474" width="11.1640625" style="106" customWidth="1"/>
    <col min="9475" max="9475" width="66.1640625" style="106" customWidth="1"/>
    <col min="9476" max="9476" width="22.33203125" style="106" customWidth="1"/>
    <col min="9477" max="9477" width="12.33203125" style="106" customWidth="1"/>
    <col min="9478" max="9478" width="12.5" style="106" customWidth="1"/>
    <col min="9479" max="9479" width="14.5" style="106" customWidth="1"/>
    <col min="9480" max="9480" width="25" style="106" bestFit="1" customWidth="1"/>
    <col min="9481" max="9481" width="3.83203125" style="106" customWidth="1"/>
    <col min="9482" max="9482" width="4" style="106" customWidth="1"/>
    <col min="9483" max="9728" width="9.33203125" style="106"/>
    <col min="9729" max="9729" width="2.5" style="106" customWidth="1"/>
    <col min="9730" max="9730" width="11.1640625" style="106" customWidth="1"/>
    <col min="9731" max="9731" width="66.1640625" style="106" customWidth="1"/>
    <col min="9732" max="9732" width="22.33203125" style="106" customWidth="1"/>
    <col min="9733" max="9733" width="12.33203125" style="106" customWidth="1"/>
    <col min="9734" max="9734" width="12.5" style="106" customWidth="1"/>
    <col min="9735" max="9735" width="14.5" style="106" customWidth="1"/>
    <col min="9736" max="9736" width="25" style="106" bestFit="1" customWidth="1"/>
    <col min="9737" max="9737" width="3.83203125" style="106" customWidth="1"/>
    <col min="9738" max="9738" width="4" style="106" customWidth="1"/>
    <col min="9739" max="9984" width="9.33203125" style="106"/>
    <col min="9985" max="9985" width="2.5" style="106" customWidth="1"/>
    <col min="9986" max="9986" width="11.1640625" style="106" customWidth="1"/>
    <col min="9987" max="9987" width="66.1640625" style="106" customWidth="1"/>
    <col min="9988" max="9988" width="22.33203125" style="106" customWidth="1"/>
    <col min="9989" max="9989" width="12.33203125" style="106" customWidth="1"/>
    <col min="9990" max="9990" width="12.5" style="106" customWidth="1"/>
    <col min="9991" max="9991" width="14.5" style="106" customWidth="1"/>
    <col min="9992" max="9992" width="25" style="106" bestFit="1" customWidth="1"/>
    <col min="9993" max="9993" width="3.83203125" style="106" customWidth="1"/>
    <col min="9994" max="9994" width="4" style="106" customWidth="1"/>
    <col min="9995" max="10240" width="9.33203125" style="106"/>
    <col min="10241" max="10241" width="2.5" style="106" customWidth="1"/>
    <col min="10242" max="10242" width="11.1640625" style="106" customWidth="1"/>
    <col min="10243" max="10243" width="66.1640625" style="106" customWidth="1"/>
    <col min="10244" max="10244" width="22.33203125" style="106" customWidth="1"/>
    <col min="10245" max="10245" width="12.33203125" style="106" customWidth="1"/>
    <col min="10246" max="10246" width="12.5" style="106" customWidth="1"/>
    <col min="10247" max="10247" width="14.5" style="106" customWidth="1"/>
    <col min="10248" max="10248" width="25" style="106" bestFit="1" customWidth="1"/>
    <col min="10249" max="10249" width="3.83203125" style="106" customWidth="1"/>
    <col min="10250" max="10250" width="4" style="106" customWidth="1"/>
    <col min="10251" max="10496" width="9.33203125" style="106"/>
    <col min="10497" max="10497" width="2.5" style="106" customWidth="1"/>
    <col min="10498" max="10498" width="11.1640625" style="106" customWidth="1"/>
    <col min="10499" max="10499" width="66.1640625" style="106" customWidth="1"/>
    <col min="10500" max="10500" width="22.33203125" style="106" customWidth="1"/>
    <col min="10501" max="10501" width="12.33203125" style="106" customWidth="1"/>
    <col min="10502" max="10502" width="12.5" style="106" customWidth="1"/>
    <col min="10503" max="10503" width="14.5" style="106" customWidth="1"/>
    <col min="10504" max="10504" width="25" style="106" bestFit="1" customWidth="1"/>
    <col min="10505" max="10505" width="3.83203125" style="106" customWidth="1"/>
    <col min="10506" max="10506" width="4" style="106" customWidth="1"/>
    <col min="10507" max="10752" width="9.33203125" style="106"/>
    <col min="10753" max="10753" width="2.5" style="106" customWidth="1"/>
    <col min="10754" max="10754" width="11.1640625" style="106" customWidth="1"/>
    <col min="10755" max="10755" width="66.1640625" style="106" customWidth="1"/>
    <col min="10756" max="10756" width="22.33203125" style="106" customWidth="1"/>
    <col min="10757" max="10757" width="12.33203125" style="106" customWidth="1"/>
    <col min="10758" max="10758" width="12.5" style="106" customWidth="1"/>
    <col min="10759" max="10759" width="14.5" style="106" customWidth="1"/>
    <col min="10760" max="10760" width="25" style="106" bestFit="1" customWidth="1"/>
    <col min="10761" max="10761" width="3.83203125" style="106" customWidth="1"/>
    <col min="10762" max="10762" width="4" style="106" customWidth="1"/>
    <col min="10763" max="11008" width="9.33203125" style="106"/>
    <col min="11009" max="11009" width="2.5" style="106" customWidth="1"/>
    <col min="11010" max="11010" width="11.1640625" style="106" customWidth="1"/>
    <col min="11011" max="11011" width="66.1640625" style="106" customWidth="1"/>
    <col min="11012" max="11012" width="22.33203125" style="106" customWidth="1"/>
    <col min="11013" max="11013" width="12.33203125" style="106" customWidth="1"/>
    <col min="11014" max="11014" width="12.5" style="106" customWidth="1"/>
    <col min="11015" max="11015" width="14.5" style="106" customWidth="1"/>
    <col min="11016" max="11016" width="25" style="106" bestFit="1" customWidth="1"/>
    <col min="11017" max="11017" width="3.83203125" style="106" customWidth="1"/>
    <col min="11018" max="11018" width="4" style="106" customWidth="1"/>
    <col min="11019" max="11264" width="9.33203125" style="106"/>
    <col min="11265" max="11265" width="2.5" style="106" customWidth="1"/>
    <col min="11266" max="11266" width="11.1640625" style="106" customWidth="1"/>
    <col min="11267" max="11267" width="66.1640625" style="106" customWidth="1"/>
    <col min="11268" max="11268" width="22.33203125" style="106" customWidth="1"/>
    <col min="11269" max="11269" width="12.33203125" style="106" customWidth="1"/>
    <col min="11270" max="11270" width="12.5" style="106" customWidth="1"/>
    <col min="11271" max="11271" width="14.5" style="106" customWidth="1"/>
    <col min="11272" max="11272" width="25" style="106" bestFit="1" customWidth="1"/>
    <col min="11273" max="11273" width="3.83203125" style="106" customWidth="1"/>
    <col min="11274" max="11274" width="4" style="106" customWidth="1"/>
    <col min="11275" max="11520" width="9.33203125" style="106"/>
    <col min="11521" max="11521" width="2.5" style="106" customWidth="1"/>
    <col min="11522" max="11522" width="11.1640625" style="106" customWidth="1"/>
    <col min="11523" max="11523" width="66.1640625" style="106" customWidth="1"/>
    <col min="11524" max="11524" width="22.33203125" style="106" customWidth="1"/>
    <col min="11525" max="11525" width="12.33203125" style="106" customWidth="1"/>
    <col min="11526" max="11526" width="12.5" style="106" customWidth="1"/>
    <col min="11527" max="11527" width="14.5" style="106" customWidth="1"/>
    <col min="11528" max="11528" width="25" style="106" bestFit="1" customWidth="1"/>
    <col min="11529" max="11529" width="3.83203125" style="106" customWidth="1"/>
    <col min="11530" max="11530" width="4" style="106" customWidth="1"/>
    <col min="11531" max="11776" width="9.33203125" style="106"/>
    <col min="11777" max="11777" width="2.5" style="106" customWidth="1"/>
    <col min="11778" max="11778" width="11.1640625" style="106" customWidth="1"/>
    <col min="11779" max="11779" width="66.1640625" style="106" customWidth="1"/>
    <col min="11780" max="11780" width="22.33203125" style="106" customWidth="1"/>
    <col min="11781" max="11781" width="12.33203125" style="106" customWidth="1"/>
    <col min="11782" max="11782" width="12.5" style="106" customWidth="1"/>
    <col min="11783" max="11783" width="14.5" style="106" customWidth="1"/>
    <col min="11784" max="11784" width="25" style="106" bestFit="1" customWidth="1"/>
    <col min="11785" max="11785" width="3.83203125" style="106" customWidth="1"/>
    <col min="11786" max="11786" width="4" style="106" customWidth="1"/>
    <col min="11787" max="12032" width="9.33203125" style="106"/>
    <col min="12033" max="12033" width="2.5" style="106" customWidth="1"/>
    <col min="12034" max="12034" width="11.1640625" style="106" customWidth="1"/>
    <col min="12035" max="12035" width="66.1640625" style="106" customWidth="1"/>
    <col min="12036" max="12036" width="22.33203125" style="106" customWidth="1"/>
    <col min="12037" max="12037" width="12.33203125" style="106" customWidth="1"/>
    <col min="12038" max="12038" width="12.5" style="106" customWidth="1"/>
    <col min="12039" max="12039" width="14.5" style="106" customWidth="1"/>
    <col min="12040" max="12040" width="25" style="106" bestFit="1" customWidth="1"/>
    <col min="12041" max="12041" width="3.83203125" style="106" customWidth="1"/>
    <col min="12042" max="12042" width="4" style="106" customWidth="1"/>
    <col min="12043" max="12288" width="9.33203125" style="106"/>
    <col min="12289" max="12289" width="2.5" style="106" customWidth="1"/>
    <col min="12290" max="12290" width="11.1640625" style="106" customWidth="1"/>
    <col min="12291" max="12291" width="66.1640625" style="106" customWidth="1"/>
    <col min="12292" max="12292" width="22.33203125" style="106" customWidth="1"/>
    <col min="12293" max="12293" width="12.33203125" style="106" customWidth="1"/>
    <col min="12294" max="12294" width="12.5" style="106" customWidth="1"/>
    <col min="12295" max="12295" width="14.5" style="106" customWidth="1"/>
    <col min="12296" max="12296" width="25" style="106" bestFit="1" customWidth="1"/>
    <col min="12297" max="12297" width="3.83203125" style="106" customWidth="1"/>
    <col min="12298" max="12298" width="4" style="106" customWidth="1"/>
    <col min="12299" max="12544" width="9.33203125" style="106"/>
    <col min="12545" max="12545" width="2.5" style="106" customWidth="1"/>
    <col min="12546" max="12546" width="11.1640625" style="106" customWidth="1"/>
    <col min="12547" max="12547" width="66.1640625" style="106" customWidth="1"/>
    <col min="12548" max="12548" width="22.33203125" style="106" customWidth="1"/>
    <col min="12549" max="12549" width="12.33203125" style="106" customWidth="1"/>
    <col min="12550" max="12550" width="12.5" style="106" customWidth="1"/>
    <col min="12551" max="12551" width="14.5" style="106" customWidth="1"/>
    <col min="12552" max="12552" width="25" style="106" bestFit="1" customWidth="1"/>
    <col min="12553" max="12553" width="3.83203125" style="106" customWidth="1"/>
    <col min="12554" max="12554" width="4" style="106" customWidth="1"/>
    <col min="12555" max="12800" width="9.33203125" style="106"/>
    <col min="12801" max="12801" width="2.5" style="106" customWidth="1"/>
    <col min="12802" max="12802" width="11.1640625" style="106" customWidth="1"/>
    <col min="12803" max="12803" width="66.1640625" style="106" customWidth="1"/>
    <col min="12804" max="12804" width="22.33203125" style="106" customWidth="1"/>
    <col min="12805" max="12805" width="12.33203125" style="106" customWidth="1"/>
    <col min="12806" max="12806" width="12.5" style="106" customWidth="1"/>
    <col min="12807" max="12807" width="14.5" style="106" customWidth="1"/>
    <col min="12808" max="12808" width="25" style="106" bestFit="1" customWidth="1"/>
    <col min="12809" max="12809" width="3.83203125" style="106" customWidth="1"/>
    <col min="12810" max="12810" width="4" style="106" customWidth="1"/>
    <col min="12811" max="13056" width="9.33203125" style="106"/>
    <col min="13057" max="13057" width="2.5" style="106" customWidth="1"/>
    <col min="13058" max="13058" width="11.1640625" style="106" customWidth="1"/>
    <col min="13059" max="13059" width="66.1640625" style="106" customWidth="1"/>
    <col min="13060" max="13060" width="22.33203125" style="106" customWidth="1"/>
    <col min="13061" max="13061" width="12.33203125" style="106" customWidth="1"/>
    <col min="13062" max="13062" width="12.5" style="106" customWidth="1"/>
    <col min="13063" max="13063" width="14.5" style="106" customWidth="1"/>
    <col min="13064" max="13064" width="25" style="106" bestFit="1" customWidth="1"/>
    <col min="13065" max="13065" width="3.83203125" style="106" customWidth="1"/>
    <col min="13066" max="13066" width="4" style="106" customWidth="1"/>
    <col min="13067" max="13312" width="9.33203125" style="106"/>
    <col min="13313" max="13313" width="2.5" style="106" customWidth="1"/>
    <col min="13314" max="13314" width="11.1640625" style="106" customWidth="1"/>
    <col min="13315" max="13315" width="66.1640625" style="106" customWidth="1"/>
    <col min="13316" max="13316" width="22.33203125" style="106" customWidth="1"/>
    <col min="13317" max="13317" width="12.33203125" style="106" customWidth="1"/>
    <col min="13318" max="13318" width="12.5" style="106" customWidth="1"/>
    <col min="13319" max="13319" width="14.5" style="106" customWidth="1"/>
    <col min="13320" max="13320" width="25" style="106" bestFit="1" customWidth="1"/>
    <col min="13321" max="13321" width="3.83203125" style="106" customWidth="1"/>
    <col min="13322" max="13322" width="4" style="106" customWidth="1"/>
    <col min="13323" max="13568" width="9.33203125" style="106"/>
    <col min="13569" max="13569" width="2.5" style="106" customWidth="1"/>
    <col min="13570" max="13570" width="11.1640625" style="106" customWidth="1"/>
    <col min="13571" max="13571" width="66.1640625" style="106" customWidth="1"/>
    <col min="13572" max="13572" width="22.33203125" style="106" customWidth="1"/>
    <col min="13573" max="13573" width="12.33203125" style="106" customWidth="1"/>
    <col min="13574" max="13574" width="12.5" style="106" customWidth="1"/>
    <col min="13575" max="13575" width="14.5" style="106" customWidth="1"/>
    <col min="13576" max="13576" width="25" style="106" bestFit="1" customWidth="1"/>
    <col min="13577" max="13577" width="3.83203125" style="106" customWidth="1"/>
    <col min="13578" max="13578" width="4" style="106" customWidth="1"/>
    <col min="13579" max="13824" width="9.33203125" style="106"/>
    <col min="13825" max="13825" width="2.5" style="106" customWidth="1"/>
    <col min="13826" max="13826" width="11.1640625" style="106" customWidth="1"/>
    <col min="13827" max="13827" width="66.1640625" style="106" customWidth="1"/>
    <col min="13828" max="13828" width="22.33203125" style="106" customWidth="1"/>
    <col min="13829" max="13829" width="12.33203125" style="106" customWidth="1"/>
    <col min="13830" max="13830" width="12.5" style="106" customWidth="1"/>
    <col min="13831" max="13831" width="14.5" style="106" customWidth="1"/>
    <col min="13832" max="13832" width="25" style="106" bestFit="1" customWidth="1"/>
    <col min="13833" max="13833" width="3.83203125" style="106" customWidth="1"/>
    <col min="13834" max="13834" width="4" style="106" customWidth="1"/>
    <col min="13835" max="14080" width="9.33203125" style="106"/>
    <col min="14081" max="14081" width="2.5" style="106" customWidth="1"/>
    <col min="14082" max="14082" width="11.1640625" style="106" customWidth="1"/>
    <col min="14083" max="14083" width="66.1640625" style="106" customWidth="1"/>
    <col min="14084" max="14084" width="22.33203125" style="106" customWidth="1"/>
    <col min="14085" max="14085" width="12.33203125" style="106" customWidth="1"/>
    <col min="14086" max="14086" width="12.5" style="106" customWidth="1"/>
    <col min="14087" max="14087" width="14.5" style="106" customWidth="1"/>
    <col min="14088" max="14088" width="25" style="106" bestFit="1" customWidth="1"/>
    <col min="14089" max="14089" width="3.83203125" style="106" customWidth="1"/>
    <col min="14090" max="14090" width="4" style="106" customWidth="1"/>
    <col min="14091" max="14336" width="9.33203125" style="106"/>
    <col min="14337" max="14337" width="2.5" style="106" customWidth="1"/>
    <col min="14338" max="14338" width="11.1640625" style="106" customWidth="1"/>
    <col min="14339" max="14339" width="66.1640625" style="106" customWidth="1"/>
    <col min="14340" max="14340" width="22.33203125" style="106" customWidth="1"/>
    <col min="14341" max="14341" width="12.33203125" style="106" customWidth="1"/>
    <col min="14342" max="14342" width="12.5" style="106" customWidth="1"/>
    <col min="14343" max="14343" width="14.5" style="106" customWidth="1"/>
    <col min="14344" max="14344" width="25" style="106" bestFit="1" customWidth="1"/>
    <col min="14345" max="14345" width="3.83203125" style="106" customWidth="1"/>
    <col min="14346" max="14346" width="4" style="106" customWidth="1"/>
    <col min="14347" max="14592" width="9.33203125" style="106"/>
    <col min="14593" max="14593" width="2.5" style="106" customWidth="1"/>
    <col min="14594" max="14594" width="11.1640625" style="106" customWidth="1"/>
    <col min="14595" max="14595" width="66.1640625" style="106" customWidth="1"/>
    <col min="14596" max="14596" width="22.33203125" style="106" customWidth="1"/>
    <col min="14597" max="14597" width="12.33203125" style="106" customWidth="1"/>
    <col min="14598" max="14598" width="12.5" style="106" customWidth="1"/>
    <col min="14599" max="14599" width="14.5" style="106" customWidth="1"/>
    <col min="14600" max="14600" width="25" style="106" bestFit="1" customWidth="1"/>
    <col min="14601" max="14601" width="3.83203125" style="106" customWidth="1"/>
    <col min="14602" max="14602" width="4" style="106" customWidth="1"/>
    <col min="14603" max="14848" width="9.33203125" style="106"/>
    <col min="14849" max="14849" width="2.5" style="106" customWidth="1"/>
    <col min="14850" max="14850" width="11.1640625" style="106" customWidth="1"/>
    <col min="14851" max="14851" width="66.1640625" style="106" customWidth="1"/>
    <col min="14852" max="14852" width="22.33203125" style="106" customWidth="1"/>
    <col min="14853" max="14853" width="12.33203125" style="106" customWidth="1"/>
    <col min="14854" max="14854" width="12.5" style="106" customWidth="1"/>
    <col min="14855" max="14855" width="14.5" style="106" customWidth="1"/>
    <col min="14856" max="14856" width="25" style="106" bestFit="1" customWidth="1"/>
    <col min="14857" max="14857" width="3.83203125" style="106" customWidth="1"/>
    <col min="14858" max="14858" width="4" style="106" customWidth="1"/>
    <col min="14859" max="15104" width="9.33203125" style="106"/>
    <col min="15105" max="15105" width="2.5" style="106" customWidth="1"/>
    <col min="15106" max="15106" width="11.1640625" style="106" customWidth="1"/>
    <col min="15107" max="15107" width="66.1640625" style="106" customWidth="1"/>
    <col min="15108" max="15108" width="22.33203125" style="106" customWidth="1"/>
    <col min="15109" max="15109" width="12.33203125" style="106" customWidth="1"/>
    <col min="15110" max="15110" width="12.5" style="106" customWidth="1"/>
    <col min="15111" max="15111" width="14.5" style="106" customWidth="1"/>
    <col min="15112" max="15112" width="25" style="106" bestFit="1" customWidth="1"/>
    <col min="15113" max="15113" width="3.83203125" style="106" customWidth="1"/>
    <col min="15114" max="15114" width="4" style="106" customWidth="1"/>
    <col min="15115" max="15360" width="9.33203125" style="106"/>
    <col min="15361" max="15361" width="2.5" style="106" customWidth="1"/>
    <col min="15362" max="15362" width="11.1640625" style="106" customWidth="1"/>
    <col min="15363" max="15363" width="66.1640625" style="106" customWidth="1"/>
    <col min="15364" max="15364" width="22.33203125" style="106" customWidth="1"/>
    <col min="15365" max="15365" width="12.33203125" style="106" customWidth="1"/>
    <col min="15366" max="15366" width="12.5" style="106" customWidth="1"/>
    <col min="15367" max="15367" width="14.5" style="106" customWidth="1"/>
    <col min="15368" max="15368" width="25" style="106" bestFit="1" customWidth="1"/>
    <col min="15369" max="15369" width="3.83203125" style="106" customWidth="1"/>
    <col min="15370" max="15370" width="4" style="106" customWidth="1"/>
    <col min="15371" max="15616" width="9.33203125" style="106"/>
    <col min="15617" max="15617" width="2.5" style="106" customWidth="1"/>
    <col min="15618" max="15618" width="11.1640625" style="106" customWidth="1"/>
    <col min="15619" max="15619" width="66.1640625" style="106" customWidth="1"/>
    <col min="15620" max="15620" width="22.33203125" style="106" customWidth="1"/>
    <col min="15621" max="15621" width="12.33203125" style="106" customWidth="1"/>
    <col min="15622" max="15622" width="12.5" style="106" customWidth="1"/>
    <col min="15623" max="15623" width="14.5" style="106" customWidth="1"/>
    <col min="15624" max="15624" width="25" style="106" bestFit="1" customWidth="1"/>
    <col min="15625" max="15625" width="3.83203125" style="106" customWidth="1"/>
    <col min="15626" max="15626" width="4" style="106" customWidth="1"/>
    <col min="15627" max="15872" width="9.33203125" style="106"/>
    <col min="15873" max="15873" width="2.5" style="106" customWidth="1"/>
    <col min="15874" max="15874" width="11.1640625" style="106" customWidth="1"/>
    <col min="15875" max="15875" width="66.1640625" style="106" customWidth="1"/>
    <col min="15876" max="15876" width="22.33203125" style="106" customWidth="1"/>
    <col min="15877" max="15877" width="12.33203125" style="106" customWidth="1"/>
    <col min="15878" max="15878" width="12.5" style="106" customWidth="1"/>
    <col min="15879" max="15879" width="14.5" style="106" customWidth="1"/>
    <col min="15880" max="15880" width="25" style="106" bestFit="1" customWidth="1"/>
    <col min="15881" max="15881" width="3.83203125" style="106" customWidth="1"/>
    <col min="15882" max="15882" width="4" style="106" customWidth="1"/>
    <col min="15883" max="16128" width="9.33203125" style="106"/>
    <col min="16129" max="16129" width="2.5" style="106" customWidth="1"/>
    <col min="16130" max="16130" width="11.1640625" style="106" customWidth="1"/>
    <col min="16131" max="16131" width="66.1640625" style="106" customWidth="1"/>
    <col min="16132" max="16132" width="22.33203125" style="106" customWidth="1"/>
    <col min="16133" max="16133" width="12.33203125" style="106" customWidth="1"/>
    <col min="16134" max="16134" width="12.5" style="106" customWidth="1"/>
    <col min="16135" max="16135" width="14.5" style="106" customWidth="1"/>
    <col min="16136" max="16136" width="25" style="106" bestFit="1" customWidth="1"/>
    <col min="16137" max="16137" width="3.83203125" style="106" customWidth="1"/>
    <col min="16138" max="16138" width="4" style="106" customWidth="1"/>
    <col min="16139" max="16384" width="9.33203125" style="106"/>
  </cols>
  <sheetData>
    <row r="1" spans="1:22" s="92" customFormat="1" ht="32.25" customHeight="1" x14ac:dyDescent="0.25">
      <c r="A1" s="85"/>
      <c r="B1" s="86" t="s">
        <v>404</v>
      </c>
      <c r="C1" s="87"/>
      <c r="D1" s="88"/>
      <c r="E1" s="89"/>
      <c r="F1" s="89"/>
      <c r="G1" s="90"/>
      <c r="H1" s="91"/>
      <c r="I1" s="85"/>
      <c r="J1" s="85"/>
      <c r="K1" s="85"/>
      <c r="L1" s="85"/>
      <c r="M1" s="85"/>
      <c r="N1" s="85"/>
      <c r="O1" s="85"/>
      <c r="P1" s="85"/>
      <c r="Q1" s="85"/>
      <c r="R1" s="85"/>
      <c r="S1" s="85"/>
      <c r="T1" s="85"/>
      <c r="U1" s="85"/>
      <c r="V1" s="85"/>
    </row>
    <row r="2" spans="1:22" s="92" customFormat="1" ht="19.5" customHeight="1" x14ac:dyDescent="0.25">
      <c r="A2" s="85"/>
      <c r="B2" s="93"/>
      <c r="C2" s="94" t="s">
        <v>555</v>
      </c>
      <c r="D2" s="95"/>
      <c r="E2" s="96"/>
      <c r="F2" s="96"/>
      <c r="G2" s="97">
        <v>12</v>
      </c>
      <c r="H2" s="98" t="s">
        <v>405</v>
      </c>
      <c r="I2" s="85"/>
      <c r="J2" s="85"/>
      <c r="K2" s="85"/>
      <c r="L2" s="85"/>
      <c r="M2" s="85"/>
      <c r="N2" s="85"/>
      <c r="O2" s="85"/>
      <c r="P2" s="85"/>
      <c r="Q2" s="85"/>
      <c r="R2" s="85"/>
      <c r="S2" s="85"/>
      <c r="T2" s="85"/>
      <c r="U2" s="85"/>
      <c r="V2" s="85"/>
    </row>
    <row r="3" spans="1:22" ht="18.75" customHeight="1" x14ac:dyDescent="0.25">
      <c r="B3" s="100"/>
      <c r="C3" s="101"/>
      <c r="D3" s="102"/>
      <c r="E3" s="103"/>
      <c r="F3" s="103"/>
      <c r="G3" s="104"/>
      <c r="H3" s="105"/>
    </row>
    <row r="4" spans="1:22" s="113" customFormat="1" ht="27.75" customHeight="1" x14ac:dyDescent="0.2">
      <c r="A4" s="107"/>
      <c r="B4" s="453" t="s">
        <v>406</v>
      </c>
      <c r="C4" s="454"/>
      <c r="D4" s="108" t="s">
        <v>407</v>
      </c>
      <c r="E4" s="109" t="s">
        <v>408</v>
      </c>
      <c r="F4" s="110" t="s">
        <v>409</v>
      </c>
      <c r="G4" s="111" t="s">
        <v>410</v>
      </c>
      <c r="H4" s="112" t="s">
        <v>411</v>
      </c>
      <c r="I4" s="107"/>
      <c r="J4" s="107"/>
      <c r="K4" s="107"/>
      <c r="L4" s="107"/>
      <c r="M4" s="107"/>
      <c r="N4" s="107"/>
      <c r="O4" s="107"/>
      <c r="P4" s="107"/>
      <c r="Q4" s="107"/>
      <c r="R4" s="107"/>
      <c r="S4" s="107"/>
      <c r="T4" s="107"/>
      <c r="U4" s="107"/>
      <c r="V4" s="107"/>
    </row>
    <row r="5" spans="1:22" s="113" customFormat="1" ht="9.9499999999999993" customHeight="1" x14ac:dyDescent="0.2">
      <c r="A5" s="107"/>
      <c r="B5" s="114"/>
      <c r="C5" s="115"/>
      <c r="D5" s="116"/>
      <c r="E5" s="117"/>
      <c r="F5" s="117"/>
      <c r="G5" s="118"/>
      <c r="H5" s="119"/>
      <c r="I5" s="107"/>
      <c r="J5" s="107"/>
      <c r="K5" s="107"/>
      <c r="L5" s="107"/>
      <c r="M5" s="107"/>
      <c r="N5" s="107"/>
      <c r="O5" s="107"/>
      <c r="P5" s="107"/>
      <c r="Q5" s="107"/>
      <c r="R5" s="107"/>
      <c r="S5" s="107"/>
      <c r="T5" s="107"/>
      <c r="U5" s="107"/>
      <c r="V5" s="107"/>
    </row>
    <row r="6" spans="1:22" s="113" customFormat="1" ht="15.75" customHeight="1" x14ac:dyDescent="0.2">
      <c r="A6" s="107"/>
      <c r="B6" s="120" t="s">
        <v>412</v>
      </c>
      <c r="C6" s="121"/>
      <c r="D6" s="122"/>
      <c r="E6" s="123"/>
      <c r="F6" s="123"/>
      <c r="G6" s="124"/>
      <c r="H6" s="125"/>
      <c r="I6" s="107"/>
      <c r="J6" s="107"/>
      <c r="K6" s="107"/>
      <c r="L6" s="107"/>
      <c r="M6" s="107"/>
      <c r="N6" s="107"/>
      <c r="O6" s="107"/>
      <c r="P6" s="107"/>
      <c r="Q6" s="107"/>
      <c r="R6" s="107"/>
      <c r="S6" s="107"/>
      <c r="T6" s="107"/>
      <c r="U6" s="107"/>
      <c r="V6" s="107"/>
    </row>
    <row r="7" spans="1:22" s="133" customFormat="1" ht="15.75" customHeight="1" x14ac:dyDescent="0.2">
      <c r="A7" s="107"/>
      <c r="B7" s="126">
        <v>1.1000000000000001</v>
      </c>
      <c r="C7" s="127" t="s">
        <v>413</v>
      </c>
      <c r="D7" s="128">
        <v>1900</v>
      </c>
      <c r="E7" s="129"/>
      <c r="F7" s="130"/>
      <c r="G7" s="131"/>
      <c r="H7" s="132"/>
      <c r="I7" s="107"/>
      <c r="J7" s="107"/>
      <c r="K7" s="107"/>
      <c r="L7" s="107"/>
      <c r="M7" s="107"/>
      <c r="N7" s="107"/>
      <c r="O7" s="107"/>
      <c r="P7" s="107"/>
      <c r="Q7" s="107"/>
      <c r="R7" s="107"/>
      <c r="S7" s="107"/>
      <c r="T7" s="107"/>
      <c r="U7" s="107"/>
      <c r="V7" s="107"/>
    </row>
    <row r="8" spans="1:22" s="141" customFormat="1" ht="15.75" customHeight="1" x14ac:dyDescent="0.2">
      <c r="A8" s="107"/>
      <c r="B8" s="134">
        <v>1.2</v>
      </c>
      <c r="C8" s="135" t="s">
        <v>414</v>
      </c>
      <c r="D8" s="136">
        <v>1600</v>
      </c>
      <c r="E8" s="137">
        <v>1</v>
      </c>
      <c r="F8" s="138">
        <v>1</v>
      </c>
      <c r="G8" s="139">
        <f>G2</f>
        <v>12</v>
      </c>
      <c r="H8" s="140">
        <f>D8*E8*F8*G8</f>
        <v>19200</v>
      </c>
      <c r="I8" s="107"/>
      <c r="J8" s="107"/>
      <c r="K8" s="107"/>
      <c r="L8" s="107"/>
      <c r="M8" s="107"/>
      <c r="N8" s="107"/>
      <c r="O8" s="107"/>
      <c r="P8" s="107"/>
      <c r="Q8" s="107"/>
      <c r="R8" s="107"/>
      <c r="S8" s="107"/>
      <c r="T8" s="107"/>
      <c r="U8" s="107"/>
      <c r="V8" s="107"/>
    </row>
    <row r="9" spans="1:22" s="141" customFormat="1" ht="15.75" customHeight="1" x14ac:dyDescent="0.2">
      <c r="A9" s="107"/>
      <c r="B9" s="134">
        <v>1.3</v>
      </c>
      <c r="C9" s="135" t="s">
        <v>415</v>
      </c>
      <c r="D9" s="136">
        <v>1350</v>
      </c>
      <c r="E9" s="142">
        <v>0.05</v>
      </c>
      <c r="F9" s="138">
        <v>1</v>
      </c>
      <c r="G9" s="139">
        <f>G2</f>
        <v>12</v>
      </c>
      <c r="H9" s="140">
        <f>D9*E9*F9*G9</f>
        <v>810</v>
      </c>
      <c r="I9" s="107"/>
      <c r="J9" s="107"/>
      <c r="K9" s="107"/>
      <c r="L9" s="107"/>
      <c r="M9" s="107"/>
      <c r="N9" s="107"/>
      <c r="O9" s="107"/>
      <c r="P9" s="107"/>
      <c r="Q9" s="107"/>
      <c r="R9" s="107"/>
      <c r="S9" s="107"/>
      <c r="T9" s="107"/>
      <c r="U9" s="107"/>
      <c r="V9" s="107"/>
    </row>
    <row r="10" spans="1:22" s="141" customFormat="1" ht="15.75" customHeight="1" x14ac:dyDescent="0.2">
      <c r="A10" s="107"/>
      <c r="B10" s="134">
        <v>1.4</v>
      </c>
      <c r="C10" s="135" t="s">
        <v>416</v>
      </c>
      <c r="D10" s="143" t="s">
        <v>417</v>
      </c>
      <c r="E10" s="137"/>
      <c r="F10" s="138"/>
      <c r="G10" s="139"/>
      <c r="H10" s="140"/>
      <c r="I10" s="107"/>
      <c r="J10" s="107"/>
      <c r="K10" s="107"/>
      <c r="L10" s="107"/>
      <c r="M10" s="107"/>
      <c r="N10" s="107"/>
      <c r="O10" s="107"/>
      <c r="P10" s="107"/>
      <c r="Q10" s="107"/>
      <c r="R10" s="107"/>
      <c r="S10" s="107"/>
      <c r="T10" s="107"/>
      <c r="U10" s="107"/>
      <c r="V10" s="107"/>
    </row>
    <row r="11" spans="1:22" s="141" customFormat="1" ht="33.75" customHeight="1" x14ac:dyDescent="0.2">
      <c r="A11" s="107"/>
      <c r="B11" s="134">
        <v>1.5</v>
      </c>
      <c r="C11" s="144" t="s">
        <v>418</v>
      </c>
      <c r="D11" s="136">
        <v>1250</v>
      </c>
      <c r="E11" s="137">
        <v>0</v>
      </c>
      <c r="F11" s="138">
        <v>1</v>
      </c>
      <c r="G11" s="139">
        <f>G2</f>
        <v>12</v>
      </c>
      <c r="H11" s="140">
        <f>D11*E11*F11*G11</f>
        <v>0</v>
      </c>
      <c r="I11" s="107"/>
      <c r="J11" s="107"/>
      <c r="K11" s="107"/>
      <c r="L11" s="107"/>
      <c r="M11" s="107"/>
      <c r="N11" s="107"/>
      <c r="O11" s="107"/>
      <c r="P11" s="107"/>
      <c r="Q11" s="107"/>
      <c r="R11" s="107"/>
      <c r="S11" s="107"/>
      <c r="T11" s="107"/>
      <c r="U11" s="107"/>
      <c r="V11" s="107"/>
    </row>
    <row r="12" spans="1:22" s="141" customFormat="1" ht="15.75" customHeight="1" x14ac:dyDescent="0.2">
      <c r="A12" s="107"/>
      <c r="B12" s="134">
        <v>1.6</v>
      </c>
      <c r="C12" s="135" t="s">
        <v>419</v>
      </c>
      <c r="D12" s="143" t="s">
        <v>420</v>
      </c>
      <c r="E12" s="137"/>
      <c r="F12" s="138"/>
      <c r="G12" s="139"/>
      <c r="H12" s="140"/>
      <c r="I12" s="107"/>
      <c r="J12" s="107"/>
      <c r="K12" s="107"/>
      <c r="L12" s="107"/>
      <c r="M12" s="107"/>
      <c r="N12" s="107"/>
      <c r="O12" s="107"/>
      <c r="P12" s="107"/>
      <c r="Q12" s="107"/>
      <c r="R12" s="107"/>
      <c r="S12" s="107"/>
      <c r="T12" s="107"/>
      <c r="U12" s="107"/>
      <c r="V12" s="107"/>
    </row>
    <row r="13" spans="1:22" s="141" customFormat="1" ht="15.75" customHeight="1" x14ac:dyDescent="0.2">
      <c r="A13" s="107"/>
      <c r="B13" s="134">
        <v>1.7</v>
      </c>
      <c r="C13" s="135" t="s">
        <v>421</v>
      </c>
      <c r="D13" s="136">
        <v>1300</v>
      </c>
      <c r="E13" s="137">
        <v>0</v>
      </c>
      <c r="F13" s="138">
        <v>1</v>
      </c>
      <c r="G13" s="139">
        <f>G2</f>
        <v>12</v>
      </c>
      <c r="H13" s="140">
        <f t="shared" ref="H13:H17" si="0">D13*E13*F13*G13</f>
        <v>0</v>
      </c>
      <c r="I13" s="107"/>
      <c r="J13" s="107"/>
      <c r="K13" s="107"/>
      <c r="L13" s="107"/>
      <c r="M13" s="107"/>
      <c r="N13" s="107"/>
      <c r="O13" s="107"/>
      <c r="P13" s="107"/>
      <c r="Q13" s="107"/>
      <c r="R13" s="107"/>
      <c r="S13" s="107"/>
      <c r="T13" s="107"/>
      <c r="U13" s="107"/>
      <c r="V13" s="107"/>
    </row>
    <row r="14" spans="1:22" s="141" customFormat="1" ht="15.75" customHeight="1" x14ac:dyDescent="0.2">
      <c r="A14" s="107"/>
      <c r="B14" s="134">
        <v>1.8</v>
      </c>
      <c r="C14" s="135" t="s">
        <v>422</v>
      </c>
      <c r="D14" s="143" t="s">
        <v>420</v>
      </c>
      <c r="E14" s="137"/>
      <c r="F14" s="138"/>
      <c r="G14" s="139"/>
      <c r="H14" s="140"/>
      <c r="I14" s="107"/>
      <c r="J14" s="107"/>
      <c r="K14" s="107"/>
      <c r="L14" s="107"/>
      <c r="M14" s="107"/>
      <c r="N14" s="107"/>
      <c r="O14" s="107"/>
      <c r="P14" s="107"/>
      <c r="Q14" s="107"/>
      <c r="R14" s="107"/>
      <c r="S14" s="107"/>
      <c r="T14" s="107"/>
      <c r="U14" s="107"/>
      <c r="V14" s="107"/>
    </row>
    <row r="15" spans="1:22" s="141" customFormat="1" ht="15.75" customHeight="1" x14ac:dyDescent="0.2">
      <c r="A15" s="107"/>
      <c r="B15" s="134">
        <v>1.9</v>
      </c>
      <c r="C15" s="135" t="s">
        <v>423</v>
      </c>
      <c r="D15" s="143" t="s">
        <v>420</v>
      </c>
      <c r="E15" s="137"/>
      <c r="F15" s="138"/>
      <c r="G15" s="139"/>
      <c r="H15" s="140"/>
      <c r="I15" s="107"/>
      <c r="J15" s="107"/>
      <c r="K15" s="107"/>
      <c r="L15" s="107"/>
      <c r="M15" s="107"/>
      <c r="N15" s="107"/>
      <c r="O15" s="107"/>
      <c r="P15" s="107"/>
      <c r="Q15" s="107"/>
      <c r="R15" s="107"/>
      <c r="S15" s="107"/>
      <c r="T15" s="107"/>
      <c r="U15" s="107"/>
      <c r="V15" s="107"/>
    </row>
    <row r="16" spans="1:22" s="141" customFormat="1" ht="15.75" customHeight="1" x14ac:dyDescent="0.2">
      <c r="A16" s="107"/>
      <c r="B16" s="145">
        <v>1.1000000000000001</v>
      </c>
      <c r="C16" s="135" t="s">
        <v>424</v>
      </c>
      <c r="D16" s="143" t="s">
        <v>420</v>
      </c>
      <c r="E16" s="137"/>
      <c r="F16" s="138"/>
      <c r="G16" s="139"/>
      <c r="H16" s="140"/>
      <c r="I16" s="107"/>
      <c r="J16" s="107"/>
      <c r="K16" s="107"/>
      <c r="L16" s="107"/>
      <c r="M16" s="107"/>
      <c r="N16" s="107"/>
      <c r="O16" s="107"/>
      <c r="P16" s="107"/>
      <c r="Q16" s="107"/>
      <c r="R16" s="107"/>
      <c r="S16" s="107"/>
      <c r="T16" s="107"/>
      <c r="U16" s="107"/>
      <c r="V16" s="107"/>
    </row>
    <row r="17" spans="1:22" s="141" customFormat="1" ht="14.25" x14ac:dyDescent="0.2">
      <c r="A17" s="107"/>
      <c r="B17" s="145">
        <v>1.1100000000000001</v>
      </c>
      <c r="C17" s="144" t="s">
        <v>425</v>
      </c>
      <c r="D17" s="146">
        <v>840</v>
      </c>
      <c r="E17" s="137">
        <v>0</v>
      </c>
      <c r="F17" s="138">
        <v>1</v>
      </c>
      <c r="G17" s="139">
        <f>G2</f>
        <v>12</v>
      </c>
      <c r="H17" s="140">
        <f t="shared" si="0"/>
        <v>0</v>
      </c>
      <c r="I17" s="107"/>
      <c r="J17" s="107"/>
      <c r="K17" s="107"/>
      <c r="L17" s="107"/>
      <c r="M17" s="107"/>
      <c r="N17" s="107"/>
      <c r="O17" s="107"/>
      <c r="P17" s="107"/>
      <c r="Q17" s="107"/>
      <c r="R17" s="107"/>
      <c r="S17" s="107"/>
      <c r="T17" s="107"/>
      <c r="U17" s="107"/>
      <c r="V17" s="107"/>
    </row>
    <row r="18" spans="1:22" s="141" customFormat="1" ht="15.75" customHeight="1" x14ac:dyDescent="0.2">
      <c r="A18" s="107"/>
      <c r="B18" s="145">
        <v>1.1200000000000001</v>
      </c>
      <c r="C18" s="135" t="s">
        <v>426</v>
      </c>
      <c r="D18" s="136">
        <v>40</v>
      </c>
      <c r="E18" s="137"/>
      <c r="F18" s="138"/>
      <c r="G18" s="139"/>
      <c r="H18" s="140">
        <f>D18</f>
        <v>40</v>
      </c>
      <c r="I18" s="107"/>
      <c r="J18" s="107"/>
      <c r="K18" s="107"/>
      <c r="L18" s="107"/>
      <c r="M18" s="107"/>
      <c r="N18" s="107"/>
      <c r="O18" s="107"/>
      <c r="P18" s="107"/>
      <c r="Q18" s="107"/>
      <c r="R18" s="107"/>
      <c r="S18" s="107"/>
      <c r="T18" s="107"/>
      <c r="U18" s="107"/>
      <c r="V18" s="107"/>
    </row>
    <row r="19" spans="1:22" s="141" customFormat="1" ht="15.75" customHeight="1" x14ac:dyDescent="0.2">
      <c r="A19" s="107"/>
      <c r="B19" s="145">
        <v>1.1299999999999999</v>
      </c>
      <c r="C19" s="135" t="s">
        <v>427</v>
      </c>
      <c r="D19" s="136">
        <v>800</v>
      </c>
      <c r="E19" s="137">
        <v>0.2</v>
      </c>
      <c r="F19" s="138">
        <v>1</v>
      </c>
      <c r="G19" s="139">
        <f>G2</f>
        <v>12</v>
      </c>
      <c r="H19" s="140">
        <f>D19*E19*F19*G19</f>
        <v>1920</v>
      </c>
      <c r="I19" s="107"/>
      <c r="J19" s="107"/>
      <c r="K19" s="107"/>
      <c r="L19" s="107"/>
      <c r="M19" s="107"/>
      <c r="N19" s="107"/>
      <c r="O19" s="107"/>
      <c r="P19" s="107"/>
      <c r="Q19" s="107"/>
      <c r="R19" s="107"/>
      <c r="S19" s="107"/>
      <c r="T19" s="107"/>
      <c r="U19" s="107"/>
      <c r="V19" s="107"/>
    </row>
    <row r="20" spans="1:22" s="141" customFormat="1" ht="15.75" customHeight="1" x14ac:dyDescent="0.2">
      <c r="A20" s="107"/>
      <c r="B20" s="145">
        <v>1.1399999999999999</v>
      </c>
      <c r="C20" s="135" t="s">
        <v>428</v>
      </c>
      <c r="D20" s="136">
        <v>120</v>
      </c>
      <c r="E20" s="137">
        <v>1</v>
      </c>
      <c r="F20" s="138">
        <v>1</v>
      </c>
      <c r="G20" s="139">
        <f>G2</f>
        <v>12</v>
      </c>
      <c r="H20" s="140">
        <f>D20*E20*F20*G20</f>
        <v>1440</v>
      </c>
      <c r="I20" s="107"/>
      <c r="J20" s="107"/>
      <c r="K20" s="107"/>
      <c r="L20" s="107"/>
      <c r="M20" s="107"/>
      <c r="N20" s="107"/>
      <c r="O20" s="107"/>
      <c r="P20" s="107"/>
      <c r="Q20" s="107"/>
      <c r="R20" s="107"/>
      <c r="S20" s="107"/>
      <c r="T20" s="107"/>
      <c r="U20" s="107"/>
      <c r="V20" s="107"/>
    </row>
    <row r="21" spans="1:22" s="141" customFormat="1" ht="15.75" customHeight="1" x14ac:dyDescent="0.2">
      <c r="A21" s="107"/>
      <c r="B21" s="145">
        <v>1.1499999999999999</v>
      </c>
      <c r="C21" s="135" t="s">
        <v>429</v>
      </c>
      <c r="D21" s="136">
        <v>1300</v>
      </c>
      <c r="E21" s="137">
        <v>0</v>
      </c>
      <c r="F21" s="138">
        <v>1</v>
      </c>
      <c r="G21" s="139">
        <f>G20</f>
        <v>12</v>
      </c>
      <c r="H21" s="140">
        <f>D21*E21*F21*G21</f>
        <v>0</v>
      </c>
      <c r="I21" s="107"/>
      <c r="J21" s="107"/>
      <c r="K21" s="107"/>
      <c r="L21" s="107"/>
      <c r="M21" s="107"/>
      <c r="N21" s="107"/>
      <c r="O21" s="107"/>
      <c r="P21" s="107"/>
      <c r="Q21" s="107"/>
      <c r="R21" s="107"/>
      <c r="S21" s="107"/>
      <c r="T21" s="107"/>
      <c r="U21" s="107"/>
      <c r="V21" s="107"/>
    </row>
    <row r="22" spans="1:22" s="147" customFormat="1" ht="15.75" customHeight="1" x14ac:dyDescent="0.2">
      <c r="A22" s="107"/>
      <c r="B22" s="145">
        <v>1.1599999999999999</v>
      </c>
      <c r="C22" s="135" t="s">
        <v>430</v>
      </c>
      <c r="D22" s="143" t="s">
        <v>420</v>
      </c>
      <c r="E22" s="137"/>
      <c r="F22" s="138"/>
      <c r="G22" s="139"/>
      <c r="H22" s="140"/>
      <c r="I22" s="107"/>
      <c r="J22" s="107"/>
      <c r="K22" s="107"/>
      <c r="L22" s="107"/>
      <c r="M22" s="107"/>
      <c r="N22" s="107"/>
      <c r="O22" s="107"/>
      <c r="P22" s="107"/>
      <c r="Q22" s="107"/>
      <c r="R22" s="107"/>
      <c r="S22" s="107"/>
      <c r="T22" s="107"/>
      <c r="U22" s="107"/>
      <c r="V22" s="107"/>
    </row>
    <row r="23" spans="1:22" s="147" customFormat="1" ht="32.25" customHeight="1" x14ac:dyDescent="0.2">
      <c r="A23" s="107"/>
      <c r="B23" s="148">
        <v>1.17</v>
      </c>
      <c r="C23" s="149" t="s">
        <v>431</v>
      </c>
      <c r="D23" s="143" t="s">
        <v>420</v>
      </c>
      <c r="E23" s="150"/>
      <c r="F23" s="151"/>
      <c r="G23" s="152"/>
      <c r="H23" s="153"/>
      <c r="I23" s="107"/>
      <c r="J23" s="107"/>
      <c r="K23" s="107"/>
      <c r="L23" s="107"/>
      <c r="M23" s="107"/>
      <c r="N23" s="107"/>
      <c r="O23" s="107"/>
      <c r="P23" s="107"/>
      <c r="Q23" s="107"/>
      <c r="R23" s="107"/>
      <c r="S23" s="107"/>
      <c r="T23" s="107"/>
      <c r="U23" s="107"/>
      <c r="V23" s="107"/>
    </row>
    <row r="24" spans="1:22" s="113" customFormat="1" ht="15.75" customHeight="1" x14ac:dyDescent="0.2">
      <c r="A24" s="107"/>
      <c r="B24" s="451"/>
      <c r="C24" s="452"/>
      <c r="D24" s="452"/>
      <c r="E24" s="452"/>
      <c r="F24" s="452"/>
      <c r="G24" s="452"/>
      <c r="H24" s="154">
        <f>SUM(H7:H23)</f>
        <v>23410</v>
      </c>
      <c r="I24" s="107"/>
      <c r="J24" s="107"/>
      <c r="K24" s="107"/>
      <c r="L24" s="107"/>
      <c r="M24" s="107"/>
      <c r="N24" s="107"/>
      <c r="O24" s="107"/>
      <c r="P24" s="107"/>
      <c r="Q24" s="107"/>
      <c r="R24" s="107"/>
      <c r="S24" s="107"/>
      <c r="T24" s="107"/>
      <c r="U24" s="107"/>
      <c r="V24" s="107"/>
    </row>
    <row r="25" spans="1:22" s="113" customFormat="1" ht="9.9499999999999993" customHeight="1" x14ac:dyDescent="0.2">
      <c r="A25" s="107"/>
      <c r="B25" s="114"/>
      <c r="C25" s="115"/>
      <c r="D25" s="116"/>
      <c r="E25" s="117"/>
      <c r="F25" s="117"/>
      <c r="G25" s="118"/>
      <c r="H25" s="119"/>
      <c r="I25" s="107"/>
      <c r="J25" s="107"/>
      <c r="K25" s="107"/>
      <c r="L25" s="107"/>
      <c r="M25" s="107"/>
      <c r="N25" s="107"/>
      <c r="O25" s="107"/>
      <c r="P25" s="107"/>
      <c r="Q25" s="107"/>
      <c r="R25" s="107"/>
      <c r="S25" s="107"/>
      <c r="T25" s="107"/>
      <c r="U25" s="107"/>
      <c r="V25" s="107"/>
    </row>
    <row r="26" spans="1:22" s="113" customFormat="1" ht="15.75" customHeight="1" x14ac:dyDescent="0.2">
      <c r="A26" s="107"/>
      <c r="B26" s="120" t="s">
        <v>432</v>
      </c>
      <c r="C26" s="121"/>
      <c r="D26" s="122"/>
      <c r="E26" s="123"/>
      <c r="F26" s="123"/>
      <c r="G26" s="124"/>
      <c r="H26" s="155"/>
      <c r="I26" s="107"/>
      <c r="J26" s="107"/>
      <c r="K26" s="107"/>
      <c r="L26" s="107"/>
      <c r="M26" s="107"/>
      <c r="N26" s="107"/>
      <c r="O26" s="107"/>
      <c r="P26" s="107"/>
      <c r="Q26" s="107"/>
      <c r="R26" s="107"/>
      <c r="S26" s="107"/>
      <c r="T26" s="107"/>
      <c r="U26" s="107"/>
      <c r="V26" s="107"/>
    </row>
    <row r="27" spans="1:22" s="133" customFormat="1" ht="15.75" customHeight="1" x14ac:dyDescent="0.2">
      <c r="A27" s="107"/>
      <c r="B27" s="126">
        <v>2.1</v>
      </c>
      <c r="C27" s="127" t="s">
        <v>433</v>
      </c>
      <c r="D27" s="156">
        <v>55</v>
      </c>
      <c r="E27" s="157">
        <v>1</v>
      </c>
      <c r="F27" s="130">
        <v>1</v>
      </c>
      <c r="G27" s="158">
        <f>G19</f>
        <v>12</v>
      </c>
      <c r="H27" s="132">
        <f>D27*E27*F27*G27</f>
        <v>660</v>
      </c>
      <c r="I27" s="107"/>
      <c r="J27" s="107"/>
      <c r="K27" s="107"/>
      <c r="L27" s="107"/>
      <c r="M27" s="107"/>
      <c r="N27" s="107"/>
      <c r="O27" s="107"/>
      <c r="P27" s="107"/>
      <c r="Q27" s="107"/>
      <c r="R27" s="107"/>
      <c r="S27" s="107"/>
      <c r="T27" s="107"/>
      <c r="U27" s="107"/>
      <c r="V27" s="107"/>
    </row>
    <row r="28" spans="1:22" s="141" customFormat="1" ht="15.75" customHeight="1" x14ac:dyDescent="0.2">
      <c r="A28" s="107"/>
      <c r="B28" s="134">
        <v>2.2000000000000002</v>
      </c>
      <c r="C28" s="135" t="s">
        <v>434</v>
      </c>
      <c r="D28" s="159">
        <v>30</v>
      </c>
      <c r="E28" s="160">
        <v>1</v>
      </c>
      <c r="F28" s="161">
        <v>1</v>
      </c>
      <c r="G28" s="158">
        <f>G19</f>
        <v>12</v>
      </c>
      <c r="H28" s="140">
        <f t="shared" ref="H28:H33" si="1">D28*E28*F28*G28</f>
        <v>360</v>
      </c>
      <c r="I28" s="107"/>
      <c r="J28" s="107"/>
      <c r="K28" s="107"/>
      <c r="L28" s="107"/>
      <c r="M28" s="107"/>
      <c r="N28" s="107"/>
      <c r="O28" s="107"/>
      <c r="P28" s="107"/>
      <c r="Q28" s="107"/>
      <c r="R28" s="107"/>
      <c r="S28" s="107"/>
      <c r="T28" s="107"/>
      <c r="U28" s="107"/>
      <c r="V28" s="107"/>
    </row>
    <row r="29" spans="1:22" s="141" customFormat="1" ht="15.75" customHeight="1" x14ac:dyDescent="0.2">
      <c r="A29" s="107"/>
      <c r="B29" s="134">
        <v>2.2999999999999998</v>
      </c>
      <c r="C29" s="135" t="s">
        <v>435</v>
      </c>
      <c r="D29" s="159">
        <v>22</v>
      </c>
      <c r="E29" s="160">
        <v>0</v>
      </c>
      <c r="F29" s="161">
        <v>1</v>
      </c>
      <c r="G29" s="158">
        <f>G19</f>
        <v>12</v>
      </c>
      <c r="H29" s="140">
        <f t="shared" si="1"/>
        <v>0</v>
      </c>
      <c r="I29" s="107"/>
      <c r="J29" s="107"/>
      <c r="K29" s="107"/>
      <c r="L29" s="107"/>
      <c r="M29" s="107"/>
      <c r="N29" s="107"/>
      <c r="O29" s="107"/>
      <c r="P29" s="107"/>
      <c r="Q29" s="107"/>
      <c r="R29" s="107"/>
      <c r="S29" s="107"/>
      <c r="T29" s="107"/>
      <c r="U29" s="107"/>
      <c r="V29" s="107"/>
    </row>
    <row r="30" spans="1:22" s="141" customFormat="1" ht="15.75" customHeight="1" x14ac:dyDescent="0.2">
      <c r="A30" s="107"/>
      <c r="B30" s="134">
        <v>2.4</v>
      </c>
      <c r="C30" s="135" t="s">
        <v>436</v>
      </c>
      <c r="D30" s="159">
        <v>20</v>
      </c>
      <c r="E30" s="160">
        <v>1</v>
      </c>
      <c r="F30" s="161">
        <v>1</v>
      </c>
      <c r="G30" s="158">
        <f>G19</f>
        <v>12</v>
      </c>
      <c r="H30" s="140">
        <f t="shared" si="1"/>
        <v>240</v>
      </c>
      <c r="I30" s="107"/>
      <c r="J30" s="107"/>
      <c r="K30" s="107"/>
      <c r="L30" s="107"/>
      <c r="M30" s="107"/>
      <c r="N30" s="107"/>
      <c r="O30" s="107"/>
      <c r="P30" s="107"/>
      <c r="Q30" s="107"/>
      <c r="R30" s="107"/>
      <c r="S30" s="107"/>
      <c r="T30" s="107"/>
      <c r="U30" s="107"/>
      <c r="V30" s="107"/>
    </row>
    <row r="31" spans="1:22" s="141" customFormat="1" ht="15.75" customHeight="1" x14ac:dyDescent="0.2">
      <c r="A31" s="107"/>
      <c r="B31" s="134">
        <v>2.5</v>
      </c>
      <c r="C31" s="135" t="s">
        <v>437</v>
      </c>
      <c r="D31" s="162" t="s">
        <v>417</v>
      </c>
      <c r="E31" s="160"/>
      <c r="F31" s="161"/>
      <c r="G31" s="158"/>
      <c r="H31" s="140"/>
      <c r="I31" s="107"/>
      <c r="J31" s="107"/>
      <c r="K31" s="107"/>
      <c r="L31" s="107"/>
      <c r="M31" s="107"/>
      <c r="N31" s="107"/>
      <c r="O31" s="107"/>
      <c r="P31" s="107"/>
      <c r="Q31" s="107"/>
      <c r="R31" s="107"/>
      <c r="S31" s="107"/>
      <c r="T31" s="107"/>
      <c r="U31" s="107"/>
      <c r="V31" s="107"/>
    </row>
    <row r="32" spans="1:22" s="141" customFormat="1" ht="15.75" customHeight="1" x14ac:dyDescent="0.2">
      <c r="A32" s="107"/>
      <c r="B32" s="134">
        <v>2.6</v>
      </c>
      <c r="C32" s="163" t="s">
        <v>438</v>
      </c>
      <c r="D32" s="159">
        <v>22</v>
      </c>
      <c r="E32" s="160">
        <v>1</v>
      </c>
      <c r="F32" s="161">
        <v>1</v>
      </c>
      <c r="G32" s="158">
        <f>G19</f>
        <v>12</v>
      </c>
      <c r="H32" s="140">
        <f t="shared" si="1"/>
        <v>264</v>
      </c>
      <c r="I32" s="107"/>
      <c r="J32" s="107"/>
      <c r="K32" s="107"/>
      <c r="L32" s="107"/>
      <c r="M32" s="107"/>
      <c r="N32" s="107"/>
      <c r="O32" s="107"/>
      <c r="P32" s="107"/>
      <c r="Q32" s="107"/>
      <c r="R32" s="107"/>
      <c r="S32" s="107"/>
      <c r="T32" s="107"/>
      <c r="U32" s="107"/>
      <c r="V32" s="107"/>
    </row>
    <row r="33" spans="1:22" s="141" customFormat="1" ht="15.75" customHeight="1" x14ac:dyDescent="0.2">
      <c r="A33" s="107"/>
      <c r="B33" s="134">
        <v>2.7</v>
      </c>
      <c r="C33" s="163" t="s">
        <v>439</v>
      </c>
      <c r="D33" s="159">
        <v>79</v>
      </c>
      <c r="E33" s="160">
        <v>0</v>
      </c>
      <c r="F33" s="161">
        <v>1</v>
      </c>
      <c r="G33" s="158">
        <f>G19</f>
        <v>12</v>
      </c>
      <c r="H33" s="140">
        <f t="shared" si="1"/>
        <v>0</v>
      </c>
      <c r="I33" s="107"/>
      <c r="J33" s="107"/>
      <c r="K33" s="107"/>
      <c r="L33" s="107"/>
      <c r="M33" s="107"/>
      <c r="N33" s="107"/>
      <c r="O33" s="107"/>
      <c r="P33" s="107"/>
      <c r="Q33" s="107"/>
      <c r="R33" s="107"/>
      <c r="S33" s="107"/>
      <c r="T33" s="107"/>
      <c r="U33" s="107"/>
      <c r="V33" s="107"/>
    </row>
    <row r="34" spans="1:22" s="147" customFormat="1" ht="15.75" customHeight="1" x14ac:dyDescent="0.2">
      <c r="A34" s="107"/>
      <c r="B34" s="164">
        <v>2.8</v>
      </c>
      <c r="C34" s="165" t="s">
        <v>440</v>
      </c>
      <c r="D34" s="166" t="s">
        <v>417</v>
      </c>
      <c r="E34" s="167"/>
      <c r="F34" s="168"/>
      <c r="G34" s="169"/>
      <c r="H34" s="153"/>
      <c r="I34" s="107"/>
      <c r="J34" s="107"/>
      <c r="K34" s="107"/>
      <c r="L34" s="107"/>
      <c r="M34" s="107"/>
      <c r="N34" s="107"/>
      <c r="O34" s="107"/>
      <c r="P34" s="107"/>
      <c r="Q34" s="107"/>
      <c r="R34" s="107"/>
      <c r="S34" s="107"/>
      <c r="T34" s="107"/>
      <c r="U34" s="107"/>
      <c r="V34" s="107"/>
    </row>
    <row r="35" spans="1:22" s="113" customFormat="1" ht="15.75" customHeight="1" x14ac:dyDescent="0.2">
      <c r="A35" s="107"/>
      <c r="B35" s="451"/>
      <c r="C35" s="452"/>
      <c r="D35" s="452"/>
      <c r="E35" s="452"/>
      <c r="F35" s="452"/>
      <c r="G35" s="452"/>
      <c r="H35" s="154">
        <f>SUM(H27:H34)</f>
        <v>1524</v>
      </c>
      <c r="I35" s="107"/>
      <c r="J35" s="107"/>
      <c r="K35" s="107"/>
      <c r="L35" s="107"/>
      <c r="M35" s="107"/>
      <c r="N35" s="107"/>
      <c r="O35" s="107"/>
      <c r="P35" s="107"/>
      <c r="Q35" s="107"/>
      <c r="R35" s="107"/>
      <c r="S35" s="107"/>
      <c r="T35" s="107"/>
      <c r="U35" s="107"/>
      <c r="V35" s="107"/>
    </row>
    <row r="36" spans="1:22" s="113" customFormat="1" ht="9.9499999999999993" customHeight="1" x14ac:dyDescent="0.2">
      <c r="A36" s="107"/>
      <c r="B36" s="114"/>
      <c r="C36" s="115"/>
      <c r="D36" s="116"/>
      <c r="E36" s="117"/>
      <c r="F36" s="117"/>
      <c r="G36" s="118"/>
      <c r="H36" s="119"/>
      <c r="I36" s="107"/>
      <c r="J36" s="107"/>
      <c r="K36" s="107"/>
      <c r="L36" s="107"/>
      <c r="M36" s="107"/>
      <c r="N36" s="107"/>
      <c r="O36" s="107"/>
      <c r="P36" s="107"/>
      <c r="Q36" s="107"/>
      <c r="R36" s="107"/>
      <c r="S36" s="107"/>
      <c r="T36" s="107"/>
      <c r="U36" s="107"/>
      <c r="V36" s="107"/>
    </row>
    <row r="37" spans="1:22" s="113" customFormat="1" ht="15.75" customHeight="1" x14ac:dyDescent="0.2">
      <c r="A37" s="107"/>
      <c r="B37" s="120" t="s">
        <v>441</v>
      </c>
      <c r="C37" s="121"/>
      <c r="D37" s="122"/>
      <c r="E37" s="123"/>
      <c r="F37" s="123"/>
      <c r="G37" s="124"/>
      <c r="H37" s="155"/>
      <c r="I37" s="107"/>
      <c r="J37" s="107"/>
      <c r="K37" s="107"/>
      <c r="L37" s="107"/>
      <c r="M37" s="107"/>
      <c r="N37" s="107"/>
      <c r="O37" s="107"/>
      <c r="P37" s="107"/>
      <c r="Q37" s="107"/>
      <c r="R37" s="107"/>
      <c r="S37" s="107"/>
      <c r="T37" s="107"/>
      <c r="U37" s="107"/>
      <c r="V37" s="107"/>
    </row>
    <row r="38" spans="1:22" s="133" customFormat="1" ht="15.75" customHeight="1" x14ac:dyDescent="0.2">
      <c r="A38" s="107"/>
      <c r="B38" s="126">
        <v>3.1</v>
      </c>
      <c r="C38" s="127" t="s">
        <v>442</v>
      </c>
      <c r="D38" s="170" t="s">
        <v>420</v>
      </c>
      <c r="E38" s="157"/>
      <c r="F38" s="130"/>
      <c r="G38" s="158"/>
      <c r="H38" s="132"/>
      <c r="I38" s="107"/>
      <c r="J38" s="107"/>
      <c r="K38" s="107"/>
      <c r="L38" s="107"/>
      <c r="M38" s="107"/>
      <c r="N38" s="107"/>
      <c r="O38" s="107"/>
      <c r="P38" s="107"/>
      <c r="Q38" s="107"/>
      <c r="R38" s="107"/>
      <c r="S38" s="107"/>
      <c r="T38" s="107"/>
      <c r="U38" s="107"/>
      <c r="V38" s="107"/>
    </row>
    <row r="39" spans="1:22" s="141" customFormat="1" ht="15.75" customHeight="1" x14ac:dyDescent="0.2">
      <c r="A39" s="107"/>
      <c r="B39" s="134">
        <v>3.2</v>
      </c>
      <c r="C39" s="135" t="s">
        <v>443</v>
      </c>
      <c r="D39" s="159">
        <v>40</v>
      </c>
      <c r="E39" s="160">
        <v>0</v>
      </c>
      <c r="F39" s="161">
        <v>2</v>
      </c>
      <c r="G39" s="158">
        <f>G33</f>
        <v>12</v>
      </c>
      <c r="H39" s="140">
        <f t="shared" ref="H39:H52" si="2">D39*E39*F39*G39</f>
        <v>0</v>
      </c>
      <c r="I39" s="107"/>
      <c r="J39" s="107"/>
      <c r="K39" s="107"/>
      <c r="L39" s="107"/>
      <c r="M39" s="107"/>
      <c r="N39" s="107"/>
      <c r="O39" s="107"/>
      <c r="P39" s="107"/>
      <c r="Q39" s="107"/>
      <c r="R39" s="107"/>
      <c r="S39" s="107"/>
      <c r="T39" s="107"/>
      <c r="U39" s="107"/>
      <c r="V39" s="107"/>
    </row>
    <row r="40" spans="1:22" s="141" customFormat="1" ht="15.75" customHeight="1" x14ac:dyDescent="0.2">
      <c r="A40" s="107"/>
      <c r="B40" s="134">
        <v>3.3</v>
      </c>
      <c r="C40" s="135" t="s">
        <v>444</v>
      </c>
      <c r="D40" s="159">
        <v>25</v>
      </c>
      <c r="E40" s="160">
        <v>1</v>
      </c>
      <c r="F40" s="161">
        <v>1</v>
      </c>
      <c r="G40" s="158">
        <f>G33</f>
        <v>12</v>
      </c>
      <c r="H40" s="140">
        <f t="shared" si="2"/>
        <v>300</v>
      </c>
      <c r="I40" s="107"/>
      <c r="J40" s="107"/>
      <c r="K40" s="107"/>
      <c r="L40" s="107"/>
      <c r="M40" s="107"/>
      <c r="N40" s="107"/>
      <c r="O40" s="107"/>
      <c r="P40" s="107"/>
      <c r="Q40" s="107"/>
      <c r="R40" s="107"/>
      <c r="S40" s="107"/>
      <c r="T40" s="107"/>
      <c r="U40" s="107"/>
      <c r="V40" s="107"/>
    </row>
    <row r="41" spans="1:22" s="141" customFormat="1" ht="15.75" customHeight="1" x14ac:dyDescent="0.2">
      <c r="A41" s="107"/>
      <c r="B41" s="134">
        <v>3.4</v>
      </c>
      <c r="C41" s="135" t="s">
        <v>445</v>
      </c>
      <c r="D41" s="159">
        <v>35</v>
      </c>
      <c r="E41" s="160">
        <v>1</v>
      </c>
      <c r="F41" s="161">
        <v>1</v>
      </c>
      <c r="G41" s="158">
        <f>G33</f>
        <v>12</v>
      </c>
      <c r="H41" s="140">
        <f t="shared" si="2"/>
        <v>420</v>
      </c>
      <c r="I41" s="107"/>
      <c r="J41" s="107"/>
      <c r="K41" s="107"/>
      <c r="L41" s="107"/>
      <c r="M41" s="107"/>
      <c r="N41" s="107"/>
      <c r="O41" s="107"/>
      <c r="P41" s="107"/>
      <c r="Q41" s="107"/>
      <c r="R41" s="107"/>
      <c r="S41" s="107"/>
      <c r="T41" s="107"/>
      <c r="U41" s="107"/>
      <c r="V41" s="107"/>
    </row>
    <row r="42" spans="1:22" s="141" customFormat="1" ht="15.75" customHeight="1" x14ac:dyDescent="0.2">
      <c r="A42" s="107"/>
      <c r="B42" s="134">
        <v>3.5</v>
      </c>
      <c r="C42" s="135" t="s">
        <v>446</v>
      </c>
      <c r="D42" s="159">
        <v>18</v>
      </c>
      <c r="E42" s="160">
        <v>1</v>
      </c>
      <c r="F42" s="161">
        <v>3</v>
      </c>
      <c r="G42" s="158">
        <v>1</v>
      </c>
      <c r="H42" s="140">
        <f t="shared" si="2"/>
        <v>54</v>
      </c>
      <c r="I42" s="107"/>
      <c r="J42" s="107"/>
      <c r="K42" s="107"/>
      <c r="L42" s="107"/>
      <c r="M42" s="107"/>
      <c r="N42" s="107"/>
      <c r="O42" s="107"/>
      <c r="P42" s="107"/>
      <c r="Q42" s="107"/>
      <c r="R42" s="107"/>
      <c r="S42" s="107"/>
      <c r="T42" s="107"/>
      <c r="U42" s="107"/>
      <c r="V42" s="107"/>
    </row>
    <row r="43" spans="1:22" s="141" customFormat="1" ht="15.75" customHeight="1" x14ac:dyDescent="0.2">
      <c r="A43" s="107"/>
      <c r="B43" s="134">
        <v>3.6</v>
      </c>
      <c r="C43" s="135" t="s">
        <v>447</v>
      </c>
      <c r="D43" s="159">
        <v>95</v>
      </c>
      <c r="E43" s="160">
        <v>1</v>
      </c>
      <c r="F43" s="161">
        <v>1</v>
      </c>
      <c r="G43" s="158">
        <f>G33</f>
        <v>12</v>
      </c>
      <c r="H43" s="140">
        <f t="shared" si="2"/>
        <v>1140</v>
      </c>
      <c r="I43" s="107"/>
      <c r="J43" s="107"/>
      <c r="K43" s="107"/>
      <c r="L43" s="107"/>
      <c r="M43" s="107"/>
      <c r="N43" s="107"/>
      <c r="O43" s="107"/>
      <c r="P43" s="107"/>
      <c r="Q43" s="107"/>
      <c r="R43" s="107"/>
      <c r="S43" s="107"/>
      <c r="T43" s="107"/>
      <c r="U43" s="107"/>
      <c r="V43" s="107"/>
    </row>
    <row r="44" spans="1:22" s="141" customFormat="1" ht="15.75" customHeight="1" x14ac:dyDescent="0.2">
      <c r="A44" s="107"/>
      <c r="B44" s="134">
        <v>3.7</v>
      </c>
      <c r="C44" s="135" t="s">
        <v>448</v>
      </c>
      <c r="D44" s="159">
        <v>15</v>
      </c>
      <c r="E44" s="160">
        <v>1</v>
      </c>
      <c r="F44" s="161">
        <v>1</v>
      </c>
      <c r="G44" s="158">
        <f>G33</f>
        <v>12</v>
      </c>
      <c r="H44" s="140">
        <f t="shared" si="2"/>
        <v>180</v>
      </c>
      <c r="I44" s="107"/>
      <c r="J44" s="107"/>
      <c r="K44" s="107"/>
      <c r="L44" s="107"/>
      <c r="M44" s="107"/>
      <c r="N44" s="107"/>
      <c r="O44" s="107"/>
      <c r="P44" s="107"/>
      <c r="Q44" s="107"/>
      <c r="R44" s="107"/>
      <c r="S44" s="107"/>
      <c r="T44" s="107"/>
      <c r="U44" s="107"/>
      <c r="V44" s="107"/>
    </row>
    <row r="45" spans="1:22" s="141" customFormat="1" ht="15.75" customHeight="1" x14ac:dyDescent="0.2">
      <c r="A45" s="107"/>
      <c r="B45" s="134">
        <v>3.8</v>
      </c>
      <c r="C45" s="135" t="s">
        <v>449</v>
      </c>
      <c r="D45" s="159">
        <v>15</v>
      </c>
      <c r="E45" s="160">
        <v>1</v>
      </c>
      <c r="F45" s="161">
        <v>1</v>
      </c>
      <c r="G45" s="158">
        <f>G33</f>
        <v>12</v>
      </c>
      <c r="H45" s="140">
        <f t="shared" si="2"/>
        <v>180</v>
      </c>
      <c r="I45" s="107"/>
      <c r="J45" s="107"/>
      <c r="K45" s="107"/>
      <c r="L45" s="107"/>
      <c r="M45" s="107"/>
      <c r="N45" s="107"/>
      <c r="O45" s="107"/>
      <c r="P45" s="107"/>
      <c r="Q45" s="107"/>
      <c r="R45" s="107"/>
      <c r="S45" s="107"/>
      <c r="T45" s="107"/>
      <c r="U45" s="107"/>
      <c r="V45" s="107"/>
    </row>
    <row r="46" spans="1:22" s="141" customFormat="1" ht="15.75" customHeight="1" x14ac:dyDescent="0.2">
      <c r="A46" s="107"/>
      <c r="B46" s="134">
        <v>3.9</v>
      </c>
      <c r="C46" s="135" t="s">
        <v>450</v>
      </c>
      <c r="D46" s="136">
        <v>35</v>
      </c>
      <c r="E46" s="160">
        <v>0</v>
      </c>
      <c r="F46" s="161">
        <v>1</v>
      </c>
      <c r="G46" s="158">
        <f>G33</f>
        <v>12</v>
      </c>
      <c r="H46" s="140">
        <f t="shared" si="2"/>
        <v>0</v>
      </c>
      <c r="I46" s="107"/>
      <c r="J46" s="107"/>
      <c r="K46" s="107"/>
      <c r="L46" s="107"/>
      <c r="M46" s="107"/>
      <c r="N46" s="107"/>
      <c r="O46" s="107"/>
      <c r="P46" s="107"/>
      <c r="Q46" s="107"/>
      <c r="R46" s="107"/>
      <c r="S46" s="107"/>
      <c r="T46" s="107"/>
      <c r="U46" s="107"/>
      <c r="V46" s="107"/>
    </row>
    <row r="47" spans="1:22" s="141" customFormat="1" ht="15.75" customHeight="1" x14ac:dyDescent="0.2">
      <c r="A47" s="107"/>
      <c r="B47" s="145">
        <v>3.1</v>
      </c>
      <c r="C47" s="135" t="s">
        <v>451</v>
      </c>
      <c r="D47" s="162" t="s">
        <v>417</v>
      </c>
      <c r="E47" s="160"/>
      <c r="F47" s="161"/>
      <c r="G47" s="158"/>
      <c r="H47" s="140"/>
      <c r="I47" s="107"/>
      <c r="J47" s="107"/>
      <c r="K47" s="107"/>
      <c r="L47" s="107"/>
      <c r="M47" s="107"/>
      <c r="N47" s="107"/>
      <c r="O47" s="107"/>
      <c r="P47" s="107"/>
      <c r="Q47" s="107"/>
      <c r="R47" s="107"/>
      <c r="S47" s="107"/>
      <c r="T47" s="107"/>
      <c r="U47" s="107"/>
      <c r="V47" s="107"/>
    </row>
    <row r="48" spans="1:22" s="141" customFormat="1" ht="15.75" customHeight="1" x14ac:dyDescent="0.2">
      <c r="A48" s="107"/>
      <c r="B48" s="145">
        <v>3.11</v>
      </c>
      <c r="C48" s="135" t="s">
        <v>452</v>
      </c>
      <c r="D48" s="162" t="s">
        <v>417</v>
      </c>
      <c r="E48" s="160"/>
      <c r="F48" s="161"/>
      <c r="G48" s="158"/>
      <c r="H48" s="140"/>
      <c r="I48" s="107"/>
      <c r="J48" s="107"/>
      <c r="K48" s="107"/>
      <c r="L48" s="107"/>
      <c r="M48" s="107"/>
      <c r="N48" s="107"/>
      <c r="O48" s="107"/>
      <c r="P48" s="107"/>
      <c r="Q48" s="107"/>
      <c r="R48" s="107"/>
      <c r="S48" s="107"/>
      <c r="T48" s="107"/>
      <c r="U48" s="107"/>
      <c r="V48" s="107"/>
    </row>
    <row r="49" spans="1:22" s="141" customFormat="1" ht="15.75" customHeight="1" x14ac:dyDescent="0.2">
      <c r="A49" s="107"/>
      <c r="B49" s="145">
        <v>3.12</v>
      </c>
      <c r="C49" s="135" t="s">
        <v>453</v>
      </c>
      <c r="D49" s="162" t="s">
        <v>417</v>
      </c>
      <c r="E49" s="160"/>
      <c r="F49" s="161"/>
      <c r="G49" s="158"/>
      <c r="H49" s="140"/>
      <c r="I49" s="107"/>
      <c r="J49" s="107"/>
      <c r="K49" s="107"/>
      <c r="L49" s="107"/>
      <c r="M49" s="107"/>
      <c r="N49" s="107"/>
      <c r="O49" s="107"/>
      <c r="P49" s="107"/>
      <c r="Q49" s="107"/>
      <c r="R49" s="107"/>
      <c r="S49" s="107"/>
      <c r="T49" s="107"/>
      <c r="U49" s="107"/>
      <c r="V49" s="107"/>
    </row>
    <row r="50" spans="1:22" s="141" customFormat="1" ht="15.75" customHeight="1" x14ac:dyDescent="0.2">
      <c r="A50" s="107"/>
      <c r="B50" s="145">
        <v>3.13</v>
      </c>
      <c r="C50" s="135" t="s">
        <v>454</v>
      </c>
      <c r="D50" s="136">
        <v>16</v>
      </c>
      <c r="E50" s="160">
        <v>0</v>
      </c>
      <c r="F50" s="161">
        <v>1</v>
      </c>
      <c r="G50" s="158">
        <f>G33</f>
        <v>12</v>
      </c>
      <c r="H50" s="140">
        <f t="shared" si="2"/>
        <v>0</v>
      </c>
      <c r="I50" s="107"/>
      <c r="J50" s="107"/>
      <c r="K50" s="107"/>
      <c r="L50" s="107"/>
      <c r="M50" s="107"/>
      <c r="N50" s="107"/>
      <c r="O50" s="107"/>
      <c r="P50" s="107"/>
      <c r="Q50" s="107"/>
      <c r="R50" s="107"/>
      <c r="S50" s="107"/>
      <c r="T50" s="107"/>
      <c r="U50" s="107"/>
      <c r="V50" s="107"/>
    </row>
    <row r="51" spans="1:22" s="141" customFormat="1" ht="15.75" customHeight="1" x14ac:dyDescent="0.2">
      <c r="A51" s="107"/>
      <c r="B51" s="145">
        <v>3.14</v>
      </c>
      <c r="C51" s="135" t="s">
        <v>439</v>
      </c>
      <c r="D51" s="159">
        <v>79</v>
      </c>
      <c r="E51" s="160">
        <v>0</v>
      </c>
      <c r="F51" s="161">
        <v>1</v>
      </c>
      <c r="G51" s="158">
        <f>G50</f>
        <v>12</v>
      </c>
      <c r="H51" s="140">
        <f t="shared" si="2"/>
        <v>0</v>
      </c>
      <c r="I51" s="107"/>
      <c r="J51" s="107"/>
      <c r="K51" s="107"/>
      <c r="L51" s="107"/>
      <c r="M51" s="107"/>
      <c r="N51" s="107"/>
      <c r="O51" s="107"/>
      <c r="P51" s="107"/>
      <c r="Q51" s="107"/>
      <c r="R51" s="107"/>
      <c r="S51" s="107"/>
      <c r="T51" s="107"/>
      <c r="U51" s="107"/>
      <c r="V51" s="107"/>
    </row>
    <row r="52" spans="1:22" s="147" customFormat="1" ht="15.75" customHeight="1" x14ac:dyDescent="0.2">
      <c r="A52" s="107"/>
      <c r="B52" s="148">
        <v>3.15</v>
      </c>
      <c r="C52" s="171" t="s">
        <v>455</v>
      </c>
      <c r="D52" s="172">
        <v>12</v>
      </c>
      <c r="E52" s="160">
        <v>0</v>
      </c>
      <c r="F52" s="168">
        <v>1</v>
      </c>
      <c r="G52" s="158">
        <f>G33</f>
        <v>12</v>
      </c>
      <c r="H52" s="140">
        <f t="shared" si="2"/>
        <v>0</v>
      </c>
      <c r="I52" s="107"/>
      <c r="J52" s="107"/>
      <c r="K52" s="107"/>
      <c r="L52" s="107"/>
      <c r="M52" s="107"/>
      <c r="N52" s="107"/>
      <c r="O52" s="107"/>
      <c r="P52" s="107"/>
      <c r="Q52" s="107"/>
      <c r="R52" s="107"/>
      <c r="S52" s="107"/>
      <c r="T52" s="107"/>
      <c r="U52" s="107"/>
      <c r="V52" s="107"/>
    </row>
    <row r="53" spans="1:22" s="113" customFormat="1" ht="15.75" customHeight="1" x14ac:dyDescent="0.2">
      <c r="A53" s="107"/>
      <c r="B53" s="451"/>
      <c r="C53" s="452"/>
      <c r="D53" s="452"/>
      <c r="E53" s="452"/>
      <c r="F53" s="452"/>
      <c r="G53" s="452"/>
      <c r="H53" s="154">
        <f>SUM(H38:H52)</f>
        <v>2274</v>
      </c>
      <c r="I53" s="107"/>
      <c r="J53" s="107"/>
      <c r="K53" s="107"/>
      <c r="L53" s="107"/>
      <c r="M53" s="107"/>
      <c r="N53" s="107"/>
      <c r="O53" s="107"/>
      <c r="P53" s="107"/>
      <c r="Q53" s="107"/>
      <c r="R53" s="107"/>
      <c r="S53" s="107"/>
      <c r="T53" s="107"/>
      <c r="U53" s="107"/>
      <c r="V53" s="107"/>
    </row>
    <row r="54" spans="1:22" s="107" customFormat="1" ht="9.9499999999999993" customHeight="1" x14ac:dyDescent="0.2">
      <c r="B54" s="173"/>
      <c r="C54" s="174"/>
      <c r="D54" s="175"/>
      <c r="E54" s="176"/>
      <c r="F54" s="176"/>
      <c r="G54" s="177"/>
      <c r="H54" s="178"/>
    </row>
    <row r="55" spans="1:22" s="113" customFormat="1" ht="15.75" customHeight="1" x14ac:dyDescent="0.2">
      <c r="A55" s="107"/>
      <c r="B55" s="120" t="s">
        <v>456</v>
      </c>
      <c r="C55" s="179"/>
      <c r="D55" s="180"/>
      <c r="E55" s="181"/>
      <c r="F55" s="181"/>
      <c r="G55" s="182"/>
      <c r="H55" s="183"/>
      <c r="I55" s="107"/>
      <c r="J55" s="107"/>
      <c r="K55" s="107"/>
      <c r="L55" s="107"/>
      <c r="M55" s="107"/>
      <c r="N55" s="107"/>
      <c r="O55" s="107"/>
      <c r="P55" s="107"/>
      <c r="Q55" s="107"/>
      <c r="R55" s="107"/>
      <c r="S55" s="107"/>
      <c r="T55" s="107"/>
      <c r="U55" s="107"/>
      <c r="V55" s="107"/>
    </row>
    <row r="56" spans="1:22" s="133" customFormat="1" ht="15.75" customHeight="1" x14ac:dyDescent="0.2">
      <c r="A56" s="107"/>
      <c r="B56" s="126">
        <v>4.0999999999999996</v>
      </c>
      <c r="C56" s="127" t="s">
        <v>457</v>
      </c>
      <c r="D56" s="184" t="s">
        <v>420</v>
      </c>
      <c r="E56" s="130"/>
      <c r="F56" s="130"/>
      <c r="G56" s="131"/>
      <c r="H56" s="132"/>
      <c r="I56" s="107"/>
      <c r="J56" s="107"/>
      <c r="K56" s="107"/>
      <c r="L56" s="107"/>
      <c r="M56" s="107"/>
      <c r="N56" s="107"/>
      <c r="O56" s="107"/>
      <c r="P56" s="107"/>
      <c r="Q56" s="107"/>
      <c r="R56" s="107"/>
      <c r="S56" s="107"/>
      <c r="T56" s="107"/>
      <c r="U56" s="107"/>
      <c r="V56" s="107"/>
    </row>
    <row r="57" spans="1:22" s="141" customFormat="1" ht="15.75" customHeight="1" x14ac:dyDescent="0.2">
      <c r="A57" s="107"/>
      <c r="B57" s="134">
        <v>4.2</v>
      </c>
      <c r="C57" s="135" t="s">
        <v>458</v>
      </c>
      <c r="D57" s="184" t="s">
        <v>420</v>
      </c>
      <c r="E57" s="160"/>
      <c r="F57" s="161"/>
      <c r="G57" s="158"/>
      <c r="H57" s="140"/>
      <c r="I57" s="107"/>
      <c r="J57" s="107"/>
      <c r="K57" s="107"/>
      <c r="L57" s="107"/>
      <c r="M57" s="107"/>
      <c r="N57" s="107"/>
      <c r="O57" s="107"/>
      <c r="P57" s="107"/>
      <c r="Q57" s="107"/>
      <c r="R57" s="107"/>
      <c r="S57" s="107"/>
      <c r="T57" s="107"/>
      <c r="U57" s="107"/>
      <c r="V57" s="107"/>
    </row>
    <row r="58" spans="1:22" s="141" customFormat="1" ht="15.75" customHeight="1" x14ac:dyDescent="0.2">
      <c r="A58" s="107"/>
      <c r="B58" s="134">
        <v>4.3</v>
      </c>
      <c r="C58" s="135" t="s">
        <v>459</v>
      </c>
      <c r="D58" s="184" t="s">
        <v>420</v>
      </c>
      <c r="E58" s="160"/>
      <c r="F58" s="161"/>
      <c r="G58" s="158"/>
      <c r="H58" s="140"/>
      <c r="I58" s="107"/>
      <c r="J58" s="107"/>
      <c r="K58" s="107"/>
      <c r="L58" s="107"/>
      <c r="M58" s="107"/>
      <c r="N58" s="107"/>
      <c r="O58" s="107"/>
      <c r="P58" s="107"/>
      <c r="Q58" s="107"/>
      <c r="R58" s="107"/>
      <c r="S58" s="107"/>
      <c r="T58" s="107"/>
      <c r="U58" s="107"/>
      <c r="V58" s="107"/>
    </row>
    <row r="59" spans="1:22" s="141" customFormat="1" ht="15.75" customHeight="1" x14ac:dyDescent="0.2">
      <c r="A59" s="107"/>
      <c r="B59" s="134">
        <v>4.4000000000000004</v>
      </c>
      <c r="C59" s="135" t="s">
        <v>460</v>
      </c>
      <c r="D59" s="184" t="s">
        <v>420</v>
      </c>
      <c r="E59" s="160"/>
      <c r="F59" s="161"/>
      <c r="G59" s="158"/>
      <c r="H59" s="140"/>
      <c r="I59" s="107"/>
      <c r="J59" s="107"/>
      <c r="K59" s="107"/>
      <c r="L59" s="107"/>
      <c r="M59" s="107"/>
      <c r="N59" s="107"/>
      <c r="O59" s="107"/>
      <c r="P59" s="107"/>
      <c r="Q59" s="107"/>
      <c r="R59" s="107"/>
      <c r="S59" s="107"/>
      <c r="T59" s="107"/>
      <c r="U59" s="107"/>
      <c r="V59" s="107"/>
    </row>
    <row r="60" spans="1:22" s="141" customFormat="1" ht="15.75" customHeight="1" x14ac:dyDescent="0.2">
      <c r="A60" s="107"/>
      <c r="B60" s="164">
        <v>4.5</v>
      </c>
      <c r="C60" s="171" t="s">
        <v>461</v>
      </c>
      <c r="D60" s="184" t="s">
        <v>420</v>
      </c>
      <c r="E60" s="167"/>
      <c r="F60" s="168"/>
      <c r="G60" s="169"/>
      <c r="H60" s="153">
        <v>500</v>
      </c>
      <c r="I60" s="107"/>
      <c r="J60" s="107"/>
      <c r="K60" s="107"/>
      <c r="L60" s="107"/>
      <c r="M60" s="107"/>
      <c r="N60" s="107"/>
      <c r="O60" s="107"/>
      <c r="P60" s="107"/>
      <c r="Q60" s="107"/>
      <c r="R60" s="107"/>
      <c r="S60" s="107"/>
      <c r="T60" s="107"/>
      <c r="U60" s="107"/>
      <c r="V60" s="107"/>
    </row>
    <row r="61" spans="1:22" s="113" customFormat="1" ht="15.75" customHeight="1" x14ac:dyDescent="0.2">
      <c r="A61" s="107"/>
      <c r="B61" s="185"/>
      <c r="C61" s="186"/>
      <c r="D61" s="187"/>
      <c r="E61" s="188"/>
      <c r="F61" s="188"/>
      <c r="G61" s="189"/>
      <c r="H61" s="190">
        <f>SUM(H56:H60)</f>
        <v>500</v>
      </c>
      <c r="I61" s="107"/>
      <c r="J61" s="107"/>
      <c r="K61" s="107"/>
      <c r="L61" s="107"/>
      <c r="M61" s="107"/>
      <c r="N61" s="107"/>
      <c r="O61" s="107"/>
      <c r="P61" s="107"/>
      <c r="Q61" s="107"/>
      <c r="R61" s="107"/>
      <c r="S61" s="107"/>
      <c r="T61" s="107"/>
      <c r="U61" s="107"/>
      <c r="V61" s="107"/>
    </row>
    <row r="62" spans="1:22" s="107" customFormat="1" ht="9.9499999999999993" customHeight="1" x14ac:dyDescent="0.2">
      <c r="B62" s="173"/>
      <c r="C62" s="174"/>
      <c r="D62" s="175"/>
      <c r="E62" s="176"/>
      <c r="F62" s="176"/>
      <c r="G62" s="177"/>
      <c r="H62" s="178"/>
    </row>
    <row r="63" spans="1:22" s="113" customFormat="1" ht="15.75" customHeight="1" x14ac:dyDescent="0.2">
      <c r="A63" s="107"/>
      <c r="B63" s="120" t="s">
        <v>462</v>
      </c>
      <c r="C63" s="179"/>
      <c r="D63" s="180"/>
      <c r="E63" s="181"/>
      <c r="F63" s="181"/>
      <c r="G63" s="182"/>
      <c r="H63" s="183"/>
      <c r="I63" s="107"/>
      <c r="J63" s="107"/>
      <c r="K63" s="107"/>
      <c r="L63" s="107"/>
      <c r="M63" s="107"/>
      <c r="N63" s="107"/>
      <c r="O63" s="107"/>
      <c r="P63" s="107"/>
      <c r="Q63" s="107"/>
      <c r="R63" s="107"/>
      <c r="S63" s="107"/>
      <c r="T63" s="107"/>
      <c r="U63" s="107"/>
      <c r="V63" s="107"/>
    </row>
    <row r="64" spans="1:22" s="133" customFormat="1" ht="15.75" customHeight="1" x14ac:dyDescent="0.2">
      <c r="A64" s="107"/>
      <c r="B64" s="126">
        <v>5.0999999999999996</v>
      </c>
      <c r="C64" s="127" t="s">
        <v>463</v>
      </c>
      <c r="D64" s="191" t="s">
        <v>420</v>
      </c>
      <c r="E64" s="130"/>
      <c r="F64" s="130"/>
      <c r="G64" s="131"/>
      <c r="H64" s="132"/>
      <c r="I64" s="107"/>
      <c r="J64" s="107"/>
      <c r="K64" s="107"/>
      <c r="L64" s="107"/>
      <c r="M64" s="107"/>
      <c r="N64" s="107"/>
      <c r="O64" s="107"/>
      <c r="P64" s="107"/>
      <c r="Q64" s="107"/>
      <c r="R64" s="107"/>
      <c r="S64" s="107"/>
      <c r="T64" s="107"/>
      <c r="U64" s="107"/>
      <c r="V64" s="107"/>
    </row>
    <row r="65" spans="1:22" s="141" customFormat="1" ht="15.75" customHeight="1" x14ac:dyDescent="0.2">
      <c r="A65" s="107"/>
      <c r="B65" s="134">
        <v>5.2</v>
      </c>
      <c r="C65" s="135" t="s">
        <v>464</v>
      </c>
      <c r="D65" s="184" t="s">
        <v>420</v>
      </c>
      <c r="E65" s="160"/>
      <c r="F65" s="161"/>
      <c r="G65" s="158"/>
      <c r="H65" s="140"/>
      <c r="I65" s="107"/>
      <c r="J65" s="107"/>
      <c r="K65" s="107"/>
      <c r="L65" s="107"/>
      <c r="M65" s="107"/>
      <c r="N65" s="107"/>
      <c r="O65" s="107"/>
      <c r="P65" s="107"/>
      <c r="Q65" s="107"/>
      <c r="R65" s="107"/>
      <c r="S65" s="107"/>
      <c r="T65" s="107"/>
      <c r="U65" s="107"/>
      <c r="V65" s="107"/>
    </row>
    <row r="66" spans="1:22" s="147" customFormat="1" ht="15.75" customHeight="1" x14ac:dyDescent="0.2">
      <c r="A66" s="107"/>
      <c r="B66" s="164">
        <v>5.3</v>
      </c>
      <c r="C66" s="171" t="s">
        <v>465</v>
      </c>
      <c r="D66" s="184" t="s">
        <v>420</v>
      </c>
      <c r="E66" s="150"/>
      <c r="F66" s="168"/>
      <c r="G66" s="169"/>
      <c r="H66" s="153"/>
      <c r="I66" s="107"/>
      <c r="J66" s="107"/>
      <c r="K66" s="107"/>
      <c r="L66" s="107"/>
      <c r="M66" s="107"/>
      <c r="N66" s="107"/>
      <c r="O66" s="107"/>
      <c r="P66" s="107"/>
      <c r="Q66" s="107"/>
      <c r="R66" s="107"/>
      <c r="S66" s="107"/>
      <c r="T66" s="107"/>
      <c r="U66" s="107"/>
      <c r="V66" s="107"/>
    </row>
    <row r="67" spans="1:22" s="113" customFormat="1" ht="15.75" customHeight="1" x14ac:dyDescent="0.2">
      <c r="A67" s="107"/>
      <c r="B67" s="451"/>
      <c r="C67" s="452"/>
      <c r="D67" s="452"/>
      <c r="E67" s="452"/>
      <c r="F67" s="452"/>
      <c r="G67" s="452"/>
      <c r="H67" s="154">
        <f>SUM(H64:H66)</f>
        <v>0</v>
      </c>
      <c r="I67" s="107"/>
      <c r="J67" s="107"/>
      <c r="K67" s="107"/>
      <c r="L67" s="107"/>
      <c r="M67" s="107"/>
      <c r="N67" s="107"/>
      <c r="O67" s="107"/>
      <c r="P67" s="107"/>
      <c r="Q67" s="107"/>
      <c r="R67" s="107"/>
      <c r="S67" s="107"/>
      <c r="T67" s="107"/>
      <c r="U67" s="107"/>
      <c r="V67" s="107"/>
    </row>
    <row r="68" spans="1:22" s="107" customFormat="1" ht="9.9499999999999993" customHeight="1" x14ac:dyDescent="0.2">
      <c r="B68" s="173"/>
      <c r="C68" s="174"/>
      <c r="D68" s="175"/>
      <c r="E68" s="176"/>
      <c r="F68" s="176"/>
      <c r="G68" s="177"/>
      <c r="H68" s="178"/>
    </row>
    <row r="69" spans="1:22" s="113" customFormat="1" ht="15.75" customHeight="1" x14ac:dyDescent="0.2">
      <c r="A69" s="107"/>
      <c r="B69" s="120" t="s">
        <v>466</v>
      </c>
      <c r="C69" s="192"/>
      <c r="D69" s="180"/>
      <c r="E69" s="193"/>
      <c r="F69" s="194"/>
      <c r="G69" s="182"/>
      <c r="H69" s="183"/>
      <c r="I69" s="107"/>
      <c r="J69" s="107"/>
      <c r="K69" s="107"/>
      <c r="L69" s="107"/>
      <c r="M69" s="107"/>
      <c r="N69" s="107"/>
      <c r="O69" s="107"/>
      <c r="P69" s="107"/>
      <c r="Q69" s="107"/>
      <c r="R69" s="107"/>
      <c r="S69" s="107"/>
      <c r="T69" s="107"/>
      <c r="U69" s="107"/>
      <c r="V69" s="107"/>
    </row>
    <row r="70" spans="1:22" s="133" customFormat="1" ht="15.75" customHeight="1" x14ac:dyDescent="0.2">
      <c r="A70" s="107"/>
      <c r="B70" s="126">
        <v>6.1</v>
      </c>
      <c r="C70" s="195" t="s">
        <v>467</v>
      </c>
      <c r="D70" s="196">
        <v>60</v>
      </c>
      <c r="E70" s="157">
        <v>0</v>
      </c>
      <c r="F70" s="130">
        <v>1</v>
      </c>
      <c r="G70" s="131">
        <f>G52</f>
        <v>12</v>
      </c>
      <c r="H70" s="132">
        <f t="shared" ref="H70" si="3">D70*E70*F70*G70</f>
        <v>0</v>
      </c>
      <c r="I70" s="107"/>
      <c r="J70" s="107"/>
      <c r="K70" s="107"/>
      <c r="L70" s="107"/>
      <c r="M70" s="107"/>
      <c r="N70" s="107"/>
      <c r="O70" s="107"/>
      <c r="P70" s="107"/>
      <c r="Q70" s="107"/>
      <c r="R70" s="107"/>
      <c r="S70" s="107"/>
      <c r="T70" s="107"/>
      <c r="U70" s="107"/>
      <c r="V70" s="107"/>
    </row>
    <row r="71" spans="1:22" s="141" customFormat="1" ht="15.75" customHeight="1" x14ac:dyDescent="0.2">
      <c r="A71" s="107"/>
      <c r="B71" s="134">
        <v>6.2</v>
      </c>
      <c r="C71" s="197" t="s">
        <v>468</v>
      </c>
      <c r="D71" s="198" t="s">
        <v>417</v>
      </c>
      <c r="E71" s="160"/>
      <c r="F71" s="161"/>
      <c r="G71" s="158"/>
      <c r="H71" s="140"/>
      <c r="I71" s="107"/>
      <c r="J71" s="107"/>
      <c r="K71" s="107"/>
      <c r="L71" s="107"/>
      <c r="M71" s="107"/>
      <c r="N71" s="107"/>
      <c r="O71" s="107"/>
      <c r="P71" s="107"/>
      <c r="Q71" s="107"/>
      <c r="R71" s="107"/>
      <c r="S71" s="107"/>
      <c r="T71" s="107"/>
      <c r="U71" s="107"/>
      <c r="V71" s="107"/>
    </row>
    <row r="72" spans="1:22" s="141" customFormat="1" ht="15.75" customHeight="1" x14ac:dyDescent="0.2">
      <c r="A72" s="107"/>
      <c r="B72" s="134">
        <v>6.3</v>
      </c>
      <c r="C72" s="197" t="s">
        <v>469</v>
      </c>
      <c r="D72" s="199">
        <v>25</v>
      </c>
      <c r="E72" s="160">
        <v>1</v>
      </c>
      <c r="F72" s="161">
        <v>1</v>
      </c>
      <c r="G72" s="158">
        <f>G52</f>
        <v>12</v>
      </c>
      <c r="H72" s="140">
        <f t="shared" ref="H72:H82" si="4">D72*E72*F72*G72</f>
        <v>300</v>
      </c>
      <c r="I72" s="107"/>
      <c r="J72" s="107"/>
      <c r="K72" s="107"/>
      <c r="L72" s="107"/>
      <c r="M72" s="107"/>
      <c r="N72" s="107"/>
      <c r="O72" s="107"/>
      <c r="P72" s="107"/>
      <c r="Q72" s="107"/>
      <c r="R72" s="107"/>
      <c r="S72" s="107"/>
      <c r="T72" s="107"/>
      <c r="U72" s="107"/>
      <c r="V72" s="107"/>
    </row>
    <row r="73" spans="1:22" s="141" customFormat="1" ht="15.75" customHeight="1" x14ac:dyDescent="0.2">
      <c r="A73" s="107"/>
      <c r="B73" s="134">
        <v>6.4</v>
      </c>
      <c r="C73" s="197" t="s">
        <v>470</v>
      </c>
      <c r="D73" s="199">
        <v>75</v>
      </c>
      <c r="E73" s="160">
        <v>1</v>
      </c>
      <c r="F73" s="161">
        <v>1</v>
      </c>
      <c r="G73" s="158">
        <f>G52</f>
        <v>12</v>
      </c>
      <c r="H73" s="140">
        <f t="shared" si="4"/>
        <v>900</v>
      </c>
      <c r="I73" s="107"/>
      <c r="J73" s="107"/>
      <c r="K73" s="107"/>
      <c r="L73" s="107"/>
      <c r="M73" s="107"/>
      <c r="N73" s="107"/>
      <c r="O73" s="107"/>
      <c r="P73" s="107"/>
      <c r="Q73" s="107"/>
      <c r="R73" s="107"/>
      <c r="S73" s="107"/>
      <c r="T73" s="107"/>
      <c r="U73" s="107"/>
      <c r="V73" s="107"/>
    </row>
    <row r="74" spans="1:22" s="141" customFormat="1" ht="15.75" customHeight="1" x14ac:dyDescent="0.2">
      <c r="A74" s="107"/>
      <c r="B74" s="134">
        <v>6.5</v>
      </c>
      <c r="C74" s="197" t="s">
        <v>471</v>
      </c>
      <c r="D74" s="198" t="s">
        <v>420</v>
      </c>
      <c r="E74" s="160"/>
      <c r="F74" s="161"/>
      <c r="G74" s="158"/>
      <c r="H74" s="140"/>
      <c r="I74" s="107"/>
      <c r="J74" s="107"/>
      <c r="K74" s="107"/>
      <c r="L74" s="107"/>
      <c r="M74" s="107"/>
      <c r="N74" s="107"/>
      <c r="O74" s="107"/>
      <c r="P74" s="107"/>
      <c r="Q74" s="107"/>
      <c r="R74" s="107"/>
      <c r="S74" s="107"/>
      <c r="T74" s="107"/>
      <c r="U74" s="107"/>
      <c r="V74" s="107"/>
    </row>
    <row r="75" spans="1:22" s="141" customFormat="1" ht="15.75" customHeight="1" x14ac:dyDescent="0.2">
      <c r="A75" s="107"/>
      <c r="B75" s="134">
        <v>6.6</v>
      </c>
      <c r="C75" s="197" t="s">
        <v>472</v>
      </c>
      <c r="D75" s="198" t="s">
        <v>417</v>
      </c>
      <c r="E75" s="160"/>
      <c r="F75" s="161"/>
      <c r="G75" s="158"/>
      <c r="H75" s="140"/>
      <c r="I75" s="107"/>
      <c r="J75" s="107"/>
      <c r="K75" s="107"/>
      <c r="L75" s="107"/>
      <c r="M75" s="107"/>
      <c r="N75" s="107"/>
      <c r="O75" s="107"/>
      <c r="P75" s="107"/>
      <c r="Q75" s="107"/>
      <c r="R75" s="107"/>
      <c r="S75" s="107"/>
      <c r="T75" s="107"/>
      <c r="U75" s="107"/>
      <c r="V75" s="107"/>
    </row>
    <row r="76" spans="1:22" s="141" customFormat="1" ht="15.75" customHeight="1" x14ac:dyDescent="0.2">
      <c r="A76" s="107"/>
      <c r="B76" s="134">
        <v>6.7</v>
      </c>
      <c r="C76" s="197" t="s">
        <v>473</v>
      </c>
      <c r="D76" s="199">
        <v>35</v>
      </c>
      <c r="E76" s="160">
        <v>0</v>
      </c>
      <c r="F76" s="161">
        <v>1</v>
      </c>
      <c r="G76" s="158">
        <f>G52</f>
        <v>12</v>
      </c>
      <c r="H76" s="140">
        <f t="shared" si="4"/>
        <v>0</v>
      </c>
      <c r="I76" s="107"/>
      <c r="J76" s="107"/>
      <c r="K76" s="107"/>
      <c r="L76" s="107"/>
      <c r="M76" s="107"/>
      <c r="N76" s="107"/>
      <c r="O76" s="107"/>
      <c r="P76" s="107"/>
      <c r="Q76" s="107"/>
      <c r="R76" s="107"/>
      <c r="S76" s="107"/>
      <c r="T76" s="107"/>
      <c r="U76" s="107"/>
      <c r="V76" s="107"/>
    </row>
    <row r="77" spans="1:22" s="141" customFormat="1" ht="15.75" customHeight="1" x14ac:dyDescent="0.2">
      <c r="A77" s="107"/>
      <c r="B77" s="134">
        <v>6.8</v>
      </c>
      <c r="C77" s="197" t="s">
        <v>474</v>
      </c>
      <c r="D77" s="199">
        <v>20</v>
      </c>
      <c r="E77" s="160">
        <v>1</v>
      </c>
      <c r="F77" s="161">
        <v>1</v>
      </c>
      <c r="G77" s="158">
        <f>G52</f>
        <v>12</v>
      </c>
      <c r="H77" s="140">
        <f t="shared" si="4"/>
        <v>240</v>
      </c>
      <c r="I77" s="107"/>
      <c r="J77" s="107"/>
      <c r="K77" s="107"/>
      <c r="L77" s="107"/>
      <c r="M77" s="107"/>
      <c r="N77" s="107"/>
      <c r="O77" s="107"/>
      <c r="P77" s="107"/>
      <c r="Q77" s="107"/>
      <c r="R77" s="107"/>
      <c r="S77" s="107"/>
      <c r="T77" s="107"/>
      <c r="U77" s="107"/>
      <c r="V77" s="107"/>
    </row>
    <row r="78" spans="1:22" s="141" customFormat="1" ht="15.75" customHeight="1" x14ac:dyDescent="0.2">
      <c r="A78" s="107"/>
      <c r="B78" s="134">
        <v>6.9</v>
      </c>
      <c r="C78" s="197" t="s">
        <v>475</v>
      </c>
      <c r="D78" s="198" t="s">
        <v>420</v>
      </c>
      <c r="E78" s="160"/>
      <c r="F78" s="161"/>
      <c r="G78" s="158"/>
      <c r="H78" s="140"/>
      <c r="I78" s="107"/>
      <c r="J78" s="107"/>
      <c r="K78" s="107"/>
      <c r="L78" s="107"/>
      <c r="M78" s="107"/>
      <c r="N78" s="107"/>
      <c r="O78" s="107"/>
      <c r="P78" s="107"/>
      <c r="Q78" s="107"/>
      <c r="R78" s="107"/>
      <c r="S78" s="107"/>
      <c r="T78" s="107"/>
      <c r="U78" s="107"/>
      <c r="V78" s="107"/>
    </row>
    <row r="79" spans="1:22" s="141" customFormat="1" ht="15.75" customHeight="1" x14ac:dyDescent="0.2">
      <c r="A79" s="107"/>
      <c r="B79" s="145">
        <v>6.1</v>
      </c>
      <c r="C79" s="197" t="s">
        <v>476</v>
      </c>
      <c r="D79" s="198" t="s">
        <v>420</v>
      </c>
      <c r="E79" s="160"/>
      <c r="F79" s="161"/>
      <c r="G79" s="158"/>
      <c r="H79" s="140"/>
      <c r="I79" s="107"/>
      <c r="J79" s="107"/>
      <c r="K79" s="107"/>
      <c r="L79" s="107"/>
      <c r="M79" s="107"/>
      <c r="N79" s="107"/>
      <c r="O79" s="107"/>
      <c r="P79" s="107"/>
      <c r="Q79" s="107"/>
      <c r="R79" s="107"/>
      <c r="S79" s="107"/>
      <c r="T79" s="107"/>
      <c r="U79" s="107"/>
      <c r="V79" s="107"/>
    </row>
    <row r="80" spans="1:22" s="141" customFormat="1" ht="15.75" customHeight="1" x14ac:dyDescent="0.2">
      <c r="A80" s="107"/>
      <c r="B80" s="134">
        <v>6.11</v>
      </c>
      <c r="C80" s="197" t="s">
        <v>477</v>
      </c>
      <c r="D80" s="199">
        <v>15</v>
      </c>
      <c r="E80" s="160">
        <v>1</v>
      </c>
      <c r="F80" s="161">
        <v>1</v>
      </c>
      <c r="G80" s="158">
        <f>G52</f>
        <v>12</v>
      </c>
      <c r="H80" s="140">
        <f t="shared" si="4"/>
        <v>180</v>
      </c>
      <c r="I80" s="107"/>
      <c r="J80" s="107"/>
      <c r="K80" s="107"/>
      <c r="L80" s="107"/>
      <c r="M80" s="107"/>
      <c r="N80" s="107"/>
      <c r="O80" s="107"/>
      <c r="P80" s="107"/>
      <c r="Q80" s="107"/>
      <c r="R80" s="107"/>
      <c r="S80" s="107"/>
      <c r="T80" s="107"/>
      <c r="U80" s="107"/>
      <c r="V80" s="107"/>
    </row>
    <row r="81" spans="1:22" s="141" customFormat="1" ht="15.75" customHeight="1" x14ac:dyDescent="0.2">
      <c r="A81" s="107"/>
      <c r="B81" s="134">
        <v>6.12</v>
      </c>
      <c r="C81" s="197" t="s">
        <v>478</v>
      </c>
      <c r="D81" s="199">
        <v>15</v>
      </c>
      <c r="E81" s="160">
        <v>1</v>
      </c>
      <c r="F81" s="161">
        <v>1</v>
      </c>
      <c r="G81" s="158">
        <f>G52</f>
        <v>12</v>
      </c>
      <c r="H81" s="140">
        <f t="shared" si="4"/>
        <v>180</v>
      </c>
      <c r="I81" s="107"/>
      <c r="J81" s="107"/>
      <c r="K81" s="107"/>
      <c r="L81" s="107"/>
      <c r="M81" s="107"/>
      <c r="N81" s="107"/>
      <c r="O81" s="107"/>
      <c r="P81" s="107"/>
      <c r="Q81" s="107"/>
      <c r="R81" s="107"/>
      <c r="S81" s="107"/>
      <c r="T81" s="107"/>
      <c r="U81" s="107"/>
      <c r="V81" s="107"/>
    </row>
    <row r="82" spans="1:22" s="141" customFormat="1" ht="15.75" customHeight="1" x14ac:dyDescent="0.2">
      <c r="A82" s="107"/>
      <c r="B82" s="134">
        <v>6.13</v>
      </c>
      <c r="C82" s="197" t="s">
        <v>479</v>
      </c>
      <c r="D82" s="199">
        <v>140</v>
      </c>
      <c r="E82" s="160">
        <v>0</v>
      </c>
      <c r="F82" s="161">
        <v>1</v>
      </c>
      <c r="G82" s="158">
        <f>G52</f>
        <v>12</v>
      </c>
      <c r="H82" s="140">
        <f t="shared" si="4"/>
        <v>0</v>
      </c>
      <c r="I82" s="107"/>
      <c r="J82" s="107"/>
      <c r="K82" s="107"/>
      <c r="L82" s="107"/>
      <c r="M82" s="107"/>
      <c r="N82" s="107"/>
      <c r="O82" s="107"/>
      <c r="P82" s="107"/>
      <c r="Q82" s="107"/>
      <c r="R82" s="107"/>
      <c r="S82" s="107"/>
      <c r="T82" s="107"/>
      <c r="U82" s="107"/>
      <c r="V82" s="107"/>
    </row>
    <row r="83" spans="1:22" s="141" customFormat="1" ht="15.75" customHeight="1" x14ac:dyDescent="0.2">
      <c r="A83" s="107"/>
      <c r="B83" s="134">
        <v>6.14</v>
      </c>
      <c r="C83" s="197" t="s">
        <v>480</v>
      </c>
      <c r="D83" s="198" t="s">
        <v>420</v>
      </c>
      <c r="E83" s="200"/>
      <c r="F83" s="161"/>
      <c r="G83" s="201"/>
      <c r="H83" s="140"/>
      <c r="I83" s="107"/>
      <c r="J83" s="107"/>
      <c r="K83" s="107"/>
      <c r="L83" s="107"/>
      <c r="M83" s="107"/>
      <c r="N83" s="107"/>
      <c r="O83" s="107"/>
      <c r="P83" s="107"/>
      <c r="Q83" s="107"/>
      <c r="R83" s="107"/>
      <c r="S83" s="107"/>
      <c r="T83" s="107"/>
      <c r="U83" s="107"/>
      <c r="V83" s="107"/>
    </row>
    <row r="84" spans="1:22" s="141" customFormat="1" ht="15.75" customHeight="1" x14ac:dyDescent="0.2">
      <c r="A84" s="107"/>
      <c r="B84" s="134">
        <v>6.15</v>
      </c>
      <c r="C84" s="197" t="s">
        <v>481</v>
      </c>
      <c r="D84" s="202" t="s">
        <v>420</v>
      </c>
      <c r="E84" s="200"/>
      <c r="F84" s="161"/>
      <c r="G84" s="158"/>
      <c r="H84" s="140"/>
      <c r="I84" s="107"/>
      <c r="J84" s="107"/>
      <c r="K84" s="107"/>
      <c r="L84" s="107"/>
      <c r="M84" s="107"/>
      <c r="N84" s="107"/>
      <c r="O84" s="107"/>
      <c r="P84" s="107"/>
      <c r="Q84" s="107"/>
      <c r="R84" s="107"/>
      <c r="S84" s="107"/>
      <c r="T84" s="107"/>
      <c r="U84" s="107"/>
      <c r="V84" s="107"/>
    </row>
    <row r="85" spans="1:22" s="113" customFormat="1" ht="15.75" customHeight="1" x14ac:dyDescent="0.2">
      <c r="A85" s="107"/>
      <c r="B85" s="451"/>
      <c r="C85" s="452"/>
      <c r="D85" s="452"/>
      <c r="E85" s="452"/>
      <c r="F85" s="452"/>
      <c r="G85" s="452"/>
      <c r="H85" s="154">
        <f>SUM(H70:H84)</f>
        <v>1800</v>
      </c>
      <c r="I85" s="107"/>
      <c r="J85" s="107"/>
      <c r="K85" s="107"/>
      <c r="L85" s="107"/>
      <c r="M85" s="107"/>
      <c r="N85" s="107"/>
      <c r="O85" s="107"/>
      <c r="P85" s="107"/>
      <c r="Q85" s="107"/>
      <c r="R85" s="107"/>
      <c r="S85" s="107"/>
      <c r="T85" s="107"/>
      <c r="U85" s="107"/>
      <c r="V85" s="107"/>
    </row>
    <row r="86" spans="1:22" s="113" customFormat="1" ht="8.25" customHeight="1" x14ac:dyDescent="0.2">
      <c r="A86" s="107"/>
      <c r="B86" s="114"/>
      <c r="C86" s="115"/>
      <c r="D86" s="116"/>
      <c r="E86" s="117"/>
      <c r="F86" s="117"/>
      <c r="G86" s="118"/>
      <c r="H86" s="203"/>
      <c r="I86" s="107"/>
      <c r="J86" s="107"/>
      <c r="K86" s="107"/>
      <c r="L86" s="107"/>
      <c r="M86" s="107"/>
      <c r="N86" s="107"/>
      <c r="O86" s="107"/>
      <c r="P86" s="107"/>
      <c r="Q86" s="107"/>
      <c r="R86" s="107"/>
      <c r="S86" s="107"/>
      <c r="T86" s="107"/>
      <c r="U86" s="107"/>
      <c r="V86" s="107"/>
    </row>
    <row r="87" spans="1:22" s="113" customFormat="1" ht="19.5" customHeight="1" thickBot="1" x14ac:dyDescent="0.25">
      <c r="A87" s="107"/>
      <c r="B87" s="204"/>
      <c r="C87" s="205"/>
      <c r="D87" s="206"/>
      <c r="E87" s="207"/>
      <c r="F87" s="207"/>
      <c r="G87" s="208" t="s">
        <v>403</v>
      </c>
      <c r="H87" s="209">
        <f>SUM(H24+H35+H53+H61+H67+H85)</f>
        <v>29508</v>
      </c>
      <c r="I87" s="107"/>
      <c r="J87" s="107"/>
      <c r="K87" s="107"/>
      <c r="L87" s="107"/>
      <c r="M87" s="107"/>
      <c r="N87" s="107"/>
      <c r="O87" s="107"/>
      <c r="P87" s="107"/>
      <c r="Q87" s="107"/>
      <c r="R87" s="107"/>
      <c r="S87" s="107"/>
      <c r="T87" s="107"/>
      <c r="U87" s="107"/>
      <c r="V87" s="107"/>
    </row>
    <row r="88" spans="1:22" x14ac:dyDescent="0.2">
      <c r="G88" s="213"/>
    </row>
  </sheetData>
  <mergeCells count="6">
    <mergeCell ref="B85:G85"/>
    <mergeCell ref="B4:C4"/>
    <mergeCell ref="B24:G24"/>
    <mergeCell ref="B35:G35"/>
    <mergeCell ref="B53:G53"/>
    <mergeCell ref="B67:G67"/>
  </mergeCells>
  <pageMargins left="0.78" right="0.43" top="0.52" bottom="0.3" header="0.5" footer="0.38"/>
  <pageSetup paperSize="8" scale="53" orientation="portrait" cellComments="asDisplayed" horizontalDpi="4294967294"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D9FA9-FB61-4216-8004-AB64FD8CB5EC}">
  <dimension ref="A1:W47"/>
  <sheetViews>
    <sheetView view="pageBreakPreview" zoomScale="85" zoomScaleNormal="90" zoomScaleSheetLayoutView="85" workbookViewId="0">
      <selection activeCell="A74" sqref="A74:C74"/>
    </sheetView>
  </sheetViews>
  <sheetFormatPr defaultColWidth="10.33203125" defaultRowHeight="12.75" x14ac:dyDescent="0.2"/>
  <cols>
    <col min="1" max="1" width="12.83203125" style="345" customWidth="1"/>
    <col min="2" max="2" width="9" style="345" bestFit="1" customWidth="1"/>
    <col min="3" max="3" width="72.6640625" style="221" customWidth="1"/>
    <col min="4" max="4" width="11.5" style="221" customWidth="1"/>
    <col min="5" max="5" width="11.6640625" style="221" customWidth="1"/>
    <col min="6" max="6" width="14.5" style="346" customWidth="1"/>
    <col min="7" max="7" width="14.83203125" style="221" customWidth="1"/>
    <col min="8" max="8" width="11.83203125" style="221" customWidth="1"/>
    <col min="9" max="12" width="10.33203125" style="221"/>
    <col min="13" max="13" width="13.33203125" style="221" customWidth="1"/>
    <col min="14" max="15" width="11.5" style="221" customWidth="1"/>
    <col min="16" max="20" width="10.33203125" style="221"/>
    <col min="21" max="21" width="12" style="221" bestFit="1" customWidth="1"/>
    <col min="22" max="22" width="10.33203125" style="221"/>
    <col min="23" max="23" width="12" style="221" bestFit="1" customWidth="1"/>
    <col min="24" max="16384" width="10.33203125" style="221"/>
  </cols>
  <sheetData>
    <row r="1" spans="1:23" ht="15.75" customHeight="1" thickBot="1" x14ac:dyDescent="0.25">
      <c r="A1" s="455" t="s">
        <v>482</v>
      </c>
      <c r="B1" s="216"/>
      <c r="C1" s="457" t="s">
        <v>483</v>
      </c>
      <c r="D1" s="217"/>
      <c r="E1" s="218"/>
      <c r="F1" s="219" t="s">
        <v>358</v>
      </c>
      <c r="G1" s="220">
        <v>1</v>
      </c>
    </row>
    <row r="2" spans="1:23" ht="13.5" thickBot="1" x14ac:dyDescent="0.25">
      <c r="A2" s="456"/>
      <c r="B2" s="222"/>
      <c r="C2" s="458"/>
      <c r="D2" s="223"/>
      <c r="E2" s="218"/>
      <c r="F2" s="224" t="s">
        <v>359</v>
      </c>
      <c r="G2" s="225">
        <f ca="1">NOW()</f>
        <v>43621.605669907411</v>
      </c>
    </row>
    <row r="3" spans="1:23" ht="13.5" thickBot="1" x14ac:dyDescent="0.25">
      <c r="A3" s="226"/>
      <c r="B3" s="226"/>
      <c r="C3" s="223"/>
      <c r="D3" s="223"/>
      <c r="E3" s="223"/>
      <c r="F3" s="227"/>
      <c r="G3" s="223"/>
    </row>
    <row r="4" spans="1:23" x14ac:dyDescent="0.2">
      <c r="A4" s="228" t="s">
        <v>484</v>
      </c>
      <c r="B4" s="229" t="s">
        <v>485</v>
      </c>
      <c r="C4" s="230" t="s">
        <v>486</v>
      </c>
      <c r="D4" s="231" t="s">
        <v>370</v>
      </c>
      <c r="E4" s="229" t="s">
        <v>371</v>
      </c>
      <c r="F4" s="232" t="s">
        <v>372</v>
      </c>
      <c r="G4" s="233" t="s">
        <v>373</v>
      </c>
      <c r="I4" s="234"/>
      <c r="M4" s="234"/>
      <c r="W4" s="234"/>
    </row>
    <row r="5" spans="1:23" ht="13.5" thickBot="1" x14ac:dyDescent="0.25">
      <c r="A5" s="235" t="s">
        <v>487</v>
      </c>
      <c r="B5" s="236"/>
      <c r="C5" s="222" t="s">
        <v>488</v>
      </c>
      <c r="D5" s="237" t="s">
        <v>375</v>
      </c>
      <c r="E5" s="236" t="s">
        <v>376</v>
      </c>
      <c r="F5" s="238" t="s">
        <v>377</v>
      </c>
      <c r="G5" s="239" t="s">
        <v>378</v>
      </c>
    </row>
    <row r="6" spans="1:23" x14ac:dyDescent="0.2">
      <c r="A6" s="240"/>
      <c r="B6" s="241"/>
      <c r="C6" s="242"/>
      <c r="D6" s="243"/>
      <c r="E6" s="244"/>
      <c r="F6" s="245"/>
      <c r="G6" s="246"/>
      <c r="S6" s="247"/>
      <c r="U6" s="248">
        <f>T6*Q5</f>
        <v>0</v>
      </c>
      <c r="W6" s="249"/>
    </row>
    <row r="7" spans="1:23" ht="15" x14ac:dyDescent="0.2">
      <c r="A7" s="250"/>
      <c r="B7" s="251"/>
      <c r="C7" s="252" t="s">
        <v>489</v>
      </c>
      <c r="D7" s="253"/>
      <c r="E7" s="254"/>
      <c r="F7" s="255"/>
      <c r="G7" s="256"/>
    </row>
    <row r="8" spans="1:23" ht="15" x14ac:dyDescent="0.2">
      <c r="A8" s="250"/>
      <c r="B8" s="251"/>
      <c r="C8" s="257"/>
      <c r="D8" s="258"/>
      <c r="E8" s="258"/>
      <c r="F8" s="259"/>
      <c r="G8" s="260">
        <f t="shared" ref="G8:G27" si="0">F8*D8</f>
        <v>0</v>
      </c>
      <c r="H8" s="261"/>
      <c r="I8" s="248"/>
      <c r="M8" s="261"/>
      <c r="O8" s="247"/>
      <c r="P8" s="262"/>
      <c r="R8" s="248"/>
      <c r="U8" s="248"/>
    </row>
    <row r="9" spans="1:23" ht="15" x14ac:dyDescent="0.2">
      <c r="A9" s="263"/>
      <c r="B9" s="264"/>
      <c r="C9" s="265" t="s">
        <v>490</v>
      </c>
      <c r="D9" s="258">
        <v>350</v>
      </c>
      <c r="E9" s="258"/>
      <c r="F9" s="259"/>
      <c r="G9" s="260">
        <f t="shared" si="0"/>
        <v>0</v>
      </c>
    </row>
    <row r="10" spans="1:23" ht="15" x14ac:dyDescent="0.2">
      <c r="A10" s="250"/>
      <c r="B10" s="251"/>
      <c r="C10" s="266" t="s">
        <v>491</v>
      </c>
      <c r="D10" s="258">
        <v>320</v>
      </c>
      <c r="E10" s="258"/>
      <c r="F10" s="259"/>
      <c r="G10" s="260"/>
      <c r="U10" s="248"/>
    </row>
    <row r="11" spans="1:23" ht="15" x14ac:dyDescent="0.2">
      <c r="A11" s="250"/>
      <c r="B11" s="251"/>
      <c r="C11" s="266" t="s">
        <v>492</v>
      </c>
      <c r="D11" s="258">
        <v>310</v>
      </c>
      <c r="E11" s="258"/>
      <c r="F11" s="259"/>
      <c r="G11" s="260"/>
      <c r="U11" s="248"/>
    </row>
    <row r="12" spans="1:23" ht="15" x14ac:dyDescent="0.2">
      <c r="A12" s="263"/>
      <c r="B12" s="267"/>
      <c r="C12" s="268" t="s">
        <v>493</v>
      </c>
      <c r="D12" s="258">
        <v>250</v>
      </c>
      <c r="E12" s="258"/>
      <c r="F12" s="259"/>
      <c r="G12" s="260">
        <f t="shared" si="0"/>
        <v>0</v>
      </c>
    </row>
    <row r="13" spans="1:23" ht="15" x14ac:dyDescent="0.2">
      <c r="A13" s="250"/>
      <c r="B13" s="251"/>
      <c r="C13" s="266" t="s">
        <v>494</v>
      </c>
      <c r="D13" s="258">
        <v>270</v>
      </c>
      <c r="E13" s="258"/>
      <c r="F13" s="259"/>
      <c r="G13" s="260">
        <f t="shared" si="0"/>
        <v>0</v>
      </c>
      <c r="U13" s="248"/>
    </row>
    <row r="14" spans="1:23" ht="15" x14ac:dyDescent="0.2">
      <c r="A14" s="250"/>
      <c r="B14" s="251"/>
      <c r="C14" s="266" t="s">
        <v>495</v>
      </c>
      <c r="D14" s="258">
        <v>140</v>
      </c>
      <c r="E14" s="258"/>
      <c r="F14" s="259"/>
      <c r="G14" s="260">
        <f>F14*D14</f>
        <v>0</v>
      </c>
      <c r="H14" s="261"/>
      <c r="I14" s="248"/>
      <c r="P14" s="262"/>
      <c r="R14" s="248"/>
      <c r="W14" s="249"/>
    </row>
    <row r="15" spans="1:23" ht="15" x14ac:dyDescent="0.2">
      <c r="A15" s="250"/>
      <c r="B15" s="251"/>
      <c r="C15" s="266" t="s">
        <v>496</v>
      </c>
      <c r="D15" s="258">
        <v>260</v>
      </c>
      <c r="E15" s="258"/>
      <c r="F15" s="259"/>
      <c r="G15" s="260"/>
      <c r="H15" s="261"/>
      <c r="I15" s="248"/>
      <c r="P15" s="262"/>
      <c r="R15" s="248"/>
      <c r="W15" s="249"/>
    </row>
    <row r="16" spans="1:23" ht="15" x14ac:dyDescent="0.2">
      <c r="A16" s="250"/>
      <c r="B16" s="251"/>
      <c r="C16" s="266" t="s">
        <v>497</v>
      </c>
      <c r="D16" s="258">
        <v>260</v>
      </c>
      <c r="E16" s="258"/>
      <c r="F16" s="259"/>
      <c r="G16" s="260"/>
      <c r="H16" s="261"/>
      <c r="I16" s="248"/>
      <c r="P16" s="262"/>
      <c r="R16" s="248"/>
      <c r="W16" s="249"/>
    </row>
    <row r="17" spans="1:23" ht="15" x14ac:dyDescent="0.2">
      <c r="A17" s="250"/>
      <c r="B17" s="251"/>
      <c r="C17" s="266" t="s">
        <v>498</v>
      </c>
      <c r="D17" s="258">
        <v>280</v>
      </c>
      <c r="E17" s="258"/>
      <c r="F17" s="259"/>
      <c r="G17" s="260"/>
      <c r="H17" s="261"/>
      <c r="I17" s="248"/>
      <c r="P17" s="262"/>
      <c r="R17" s="248"/>
      <c r="W17" s="249"/>
    </row>
    <row r="18" spans="1:23" ht="15" x14ac:dyDescent="0.2">
      <c r="A18" s="250"/>
      <c r="B18" s="251"/>
      <c r="C18" s="269"/>
      <c r="D18" s="258"/>
      <c r="E18" s="258"/>
      <c r="F18" s="259"/>
      <c r="G18" s="260"/>
      <c r="U18" s="248"/>
    </row>
    <row r="19" spans="1:23" ht="15" x14ac:dyDescent="0.2">
      <c r="A19" s="250"/>
      <c r="B19" s="251"/>
      <c r="C19" s="266" t="s">
        <v>499</v>
      </c>
      <c r="D19" s="258"/>
      <c r="E19" s="258"/>
      <c r="F19" s="259"/>
      <c r="G19" s="260"/>
      <c r="U19" s="248"/>
    </row>
    <row r="20" spans="1:23" ht="15" x14ac:dyDescent="0.2">
      <c r="A20" s="250"/>
      <c r="B20" s="251"/>
      <c r="C20" s="269" t="s">
        <v>500</v>
      </c>
      <c r="D20" s="258"/>
      <c r="E20" s="258"/>
      <c r="F20" s="259"/>
      <c r="G20" s="260">
        <f t="shared" si="0"/>
        <v>0</v>
      </c>
      <c r="N20" s="248"/>
      <c r="P20" s="248"/>
    </row>
    <row r="21" spans="1:23" ht="15" x14ac:dyDescent="0.2">
      <c r="A21" s="250"/>
      <c r="B21" s="251"/>
      <c r="C21" s="269" t="s">
        <v>501</v>
      </c>
      <c r="D21" s="258"/>
      <c r="E21" s="258"/>
      <c r="F21" s="259"/>
      <c r="G21" s="260"/>
      <c r="N21" s="248"/>
      <c r="P21" s="248"/>
    </row>
    <row r="22" spans="1:23" ht="15" x14ac:dyDescent="0.2">
      <c r="A22" s="250"/>
      <c r="B22" s="251"/>
      <c r="C22" s="269" t="s">
        <v>502</v>
      </c>
      <c r="D22" s="258"/>
      <c r="E22" s="258"/>
      <c r="F22" s="259"/>
      <c r="G22" s="260"/>
      <c r="N22" s="248"/>
      <c r="P22" s="248"/>
    </row>
    <row r="23" spans="1:23" ht="15" x14ac:dyDescent="0.2">
      <c r="A23" s="250"/>
      <c r="B23" s="251"/>
      <c r="C23" s="269"/>
      <c r="D23" s="258"/>
      <c r="E23" s="258"/>
      <c r="F23" s="259"/>
      <c r="G23" s="260"/>
      <c r="N23" s="248"/>
      <c r="P23" s="248"/>
    </row>
    <row r="24" spans="1:23" ht="15" x14ac:dyDescent="0.2">
      <c r="A24" s="250"/>
      <c r="B24" s="251"/>
      <c r="C24" s="266" t="s">
        <v>503</v>
      </c>
      <c r="D24" s="258"/>
      <c r="E24" s="258"/>
      <c r="F24" s="259"/>
      <c r="G24" s="260">
        <f t="shared" si="0"/>
        <v>0</v>
      </c>
    </row>
    <row r="25" spans="1:23" ht="15" x14ac:dyDescent="0.2">
      <c r="A25" s="250"/>
      <c r="B25" s="251"/>
      <c r="C25" s="266" t="s">
        <v>504</v>
      </c>
      <c r="D25" s="258"/>
      <c r="E25" s="258"/>
      <c r="F25" s="259"/>
      <c r="G25" s="260">
        <f t="shared" si="0"/>
        <v>0</v>
      </c>
    </row>
    <row r="26" spans="1:23" ht="15" x14ac:dyDescent="0.2">
      <c r="A26" s="250"/>
      <c r="B26" s="251"/>
      <c r="C26" s="266" t="s">
        <v>505</v>
      </c>
      <c r="D26" s="258"/>
      <c r="E26" s="258"/>
      <c r="F26" s="259"/>
      <c r="G26" s="260"/>
    </row>
    <row r="27" spans="1:23" ht="15" x14ac:dyDescent="0.2">
      <c r="A27" s="250"/>
      <c r="B27" s="251"/>
      <c r="C27" s="269"/>
      <c r="D27" s="258"/>
      <c r="E27" s="258"/>
      <c r="F27" s="259"/>
      <c r="G27" s="260">
        <f t="shared" si="0"/>
        <v>0</v>
      </c>
    </row>
    <row r="28" spans="1:23" ht="15" x14ac:dyDescent="0.2">
      <c r="A28" s="250"/>
      <c r="B28" s="251"/>
      <c r="C28" s="269"/>
      <c r="D28" s="270"/>
      <c r="E28" s="258"/>
      <c r="F28" s="259"/>
      <c r="G28" s="271"/>
    </row>
    <row r="29" spans="1:23" x14ac:dyDescent="0.2">
      <c r="A29" s="250"/>
      <c r="B29" s="251"/>
      <c r="C29" s="272"/>
      <c r="D29" s="273"/>
      <c r="E29" s="274"/>
      <c r="F29" s="275"/>
      <c r="G29" s="256"/>
    </row>
    <row r="30" spans="1:23" ht="13.5" thickBot="1" x14ac:dyDescent="0.25">
      <c r="A30" s="235"/>
      <c r="B30" s="276"/>
      <c r="C30" s="277"/>
      <c r="D30" s="278"/>
      <c r="E30" s="279"/>
      <c r="F30" s="280"/>
      <c r="G30" s="281">
        <f>SUM(G6:G27)</f>
        <v>0</v>
      </c>
    </row>
    <row r="31" spans="1:23" x14ac:dyDescent="0.2">
      <c r="A31" s="282" t="s">
        <v>506</v>
      </c>
      <c r="B31" s="283"/>
      <c r="C31" s="284"/>
      <c r="D31" s="285"/>
      <c r="E31" s="286"/>
      <c r="F31" s="287"/>
      <c r="G31" s="288">
        <f>IF(D31&gt;-0.01,D31*F31,"Omission")</f>
        <v>0</v>
      </c>
    </row>
    <row r="32" spans="1:23" x14ac:dyDescent="0.2">
      <c r="A32" s="289"/>
      <c r="B32" s="290"/>
      <c r="C32" s="291"/>
      <c r="D32" s="292"/>
      <c r="E32" s="293"/>
      <c r="F32" s="294"/>
      <c r="G32" s="295">
        <f>IF(D32&gt;-0.01,D32*F32,"Omission")</f>
        <v>0</v>
      </c>
    </row>
    <row r="33" spans="1:10" x14ac:dyDescent="0.2">
      <c r="A33" s="250"/>
      <c r="B33" s="251"/>
      <c r="C33" s="291"/>
      <c r="D33" s="292"/>
      <c r="E33" s="293"/>
      <c r="F33" s="294"/>
      <c r="G33" s="295"/>
    </row>
    <row r="34" spans="1:10" ht="13.5" thickBot="1" x14ac:dyDescent="0.25">
      <c r="A34" s="289"/>
      <c r="B34" s="290"/>
      <c r="C34" s="291"/>
      <c r="D34" s="292"/>
      <c r="E34" s="293"/>
      <c r="F34" s="294"/>
      <c r="G34" s="295"/>
    </row>
    <row r="35" spans="1:10" x14ac:dyDescent="0.2">
      <c r="A35" s="282" t="s">
        <v>507</v>
      </c>
      <c r="B35" s="283"/>
      <c r="C35" s="284"/>
      <c r="D35" s="285"/>
      <c r="E35" s="286"/>
      <c r="F35" s="287"/>
      <c r="G35" s="288">
        <f>IF(D35&gt;-0.01,D35*F35,"Omission")</f>
        <v>0</v>
      </c>
    </row>
    <row r="36" spans="1:10" x14ac:dyDescent="0.2">
      <c r="A36" s="289"/>
      <c r="B36" s="290"/>
      <c r="C36" s="291"/>
      <c r="D36" s="292"/>
      <c r="E36" s="293"/>
      <c r="F36" s="294"/>
      <c r="G36" s="295"/>
    </row>
    <row r="37" spans="1:10" x14ac:dyDescent="0.2">
      <c r="A37" s="289"/>
      <c r="B37" s="290"/>
      <c r="C37" s="291"/>
      <c r="D37" s="292"/>
      <c r="E37" s="293"/>
      <c r="F37" s="294"/>
      <c r="G37" s="295"/>
    </row>
    <row r="38" spans="1:10" ht="13.5" thickBot="1" x14ac:dyDescent="0.25">
      <c r="A38" s="296"/>
      <c r="B38" s="236"/>
      <c r="C38" s="297"/>
      <c r="D38" s="298"/>
      <c r="E38" s="299"/>
      <c r="F38" s="300"/>
      <c r="G38" s="301">
        <f>IF(D38&gt;-0.01,D38*F38,"Omission")</f>
        <v>0</v>
      </c>
    </row>
    <row r="39" spans="1:10" x14ac:dyDescent="0.2">
      <c r="A39" s="302"/>
      <c r="B39" s="303"/>
      <c r="C39" s="304" t="s">
        <v>508</v>
      </c>
      <c r="D39" s="305"/>
      <c r="E39" s="306"/>
      <c r="F39" s="307"/>
      <c r="G39" s="308">
        <f>SUM(G30)</f>
        <v>0</v>
      </c>
    </row>
    <row r="40" spans="1:10" x14ac:dyDescent="0.2">
      <c r="A40" s="309"/>
      <c r="B40" s="310"/>
      <c r="C40" s="311"/>
      <c r="D40" s="312"/>
      <c r="E40" s="313"/>
      <c r="F40" s="314"/>
      <c r="G40" s="315"/>
    </row>
    <row r="41" spans="1:10" x14ac:dyDescent="0.2">
      <c r="A41" s="309"/>
      <c r="B41" s="316"/>
      <c r="C41" s="317"/>
      <c r="D41" s="318"/>
      <c r="E41" s="319"/>
      <c r="F41" s="320"/>
      <c r="G41" s="321"/>
    </row>
    <row r="42" spans="1:10" x14ac:dyDescent="0.2">
      <c r="A42" s="309"/>
      <c r="B42" s="322"/>
      <c r="C42" s="311"/>
      <c r="D42" s="323"/>
      <c r="E42" s="313"/>
      <c r="F42" s="324"/>
      <c r="G42" s="315"/>
    </row>
    <row r="43" spans="1:10" ht="13.5" thickBot="1" x14ac:dyDescent="0.25">
      <c r="A43" s="325"/>
      <c r="B43" s="326"/>
      <c r="C43" s="327"/>
      <c r="D43" s="328"/>
      <c r="E43" s="329"/>
      <c r="F43" s="330"/>
      <c r="G43" s="331"/>
    </row>
    <row r="44" spans="1:10" ht="13.5" thickBot="1" x14ac:dyDescent="0.25">
      <c r="A44" s="332"/>
      <c r="B44" s="333"/>
      <c r="C44" s="459" t="s">
        <v>509</v>
      </c>
      <c r="D44" s="459"/>
      <c r="E44" s="459"/>
      <c r="F44" s="460"/>
      <c r="G44" s="334">
        <f>SUM(G39:G43)</f>
        <v>0</v>
      </c>
    </row>
    <row r="45" spans="1:10" ht="13.5" thickBot="1" x14ac:dyDescent="0.25">
      <c r="A45" s="335"/>
      <c r="B45" s="336"/>
      <c r="C45" s="337"/>
      <c r="D45" s="337"/>
      <c r="E45" s="337"/>
      <c r="F45" s="338"/>
      <c r="G45" s="339"/>
    </row>
    <row r="46" spans="1:10" x14ac:dyDescent="0.2">
      <c r="A46" s="340"/>
      <c r="B46" s="340"/>
      <c r="C46" s="341"/>
      <c r="D46" s="341"/>
      <c r="E46" s="341"/>
      <c r="F46" s="342"/>
      <c r="G46" s="343"/>
      <c r="J46" s="344"/>
    </row>
    <row r="47" spans="1:10" ht="26.45" customHeight="1" x14ac:dyDescent="0.2">
      <c r="A47" s="461"/>
      <c r="B47" s="462"/>
      <c r="C47" s="462"/>
      <c r="D47" s="462"/>
      <c r="E47" s="462"/>
      <c r="F47" s="462"/>
      <c r="G47" s="463"/>
    </row>
  </sheetData>
  <mergeCells count="4">
    <mergeCell ref="A1:A2"/>
    <mergeCell ref="C1:C2"/>
    <mergeCell ref="C44:F44"/>
    <mergeCell ref="A47:G47"/>
  </mergeCells>
  <pageMargins left="0.75" right="0.75" top="1" bottom="1" header="0.5" footer="0.5"/>
  <pageSetup paperSize="9" scale="64"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8CEE3-D8A7-434A-9878-767B05F58579}">
  <dimension ref="B1:X51"/>
  <sheetViews>
    <sheetView topLeftCell="A27" workbookViewId="0">
      <selection activeCell="T32" sqref="T32"/>
    </sheetView>
  </sheetViews>
  <sheetFormatPr defaultRowHeight="12.75" x14ac:dyDescent="0.2"/>
  <cols>
    <col min="1" max="1" width="4.83203125" style="402" customWidth="1"/>
    <col min="2" max="2" width="21.1640625" style="402" customWidth="1"/>
    <col min="3" max="3" width="7.5" style="402" customWidth="1"/>
    <col min="4" max="5" width="6.83203125" style="402" customWidth="1"/>
    <col min="6" max="8" width="9.33203125" style="402"/>
    <col min="9" max="9" width="10" style="402" customWidth="1"/>
    <col min="10" max="10" width="7.1640625" style="402" customWidth="1"/>
    <col min="11" max="12" width="9.33203125" style="402"/>
    <col min="13" max="13" width="5.1640625" style="402" bestFit="1" customWidth="1"/>
    <col min="14" max="14" width="10.6640625" style="402" customWidth="1"/>
    <col min="15" max="15" width="6.33203125" style="402" bestFit="1" customWidth="1"/>
    <col min="16" max="16" width="9" style="402" customWidth="1"/>
    <col min="17" max="17" width="7.1640625" style="402" customWidth="1"/>
    <col min="18" max="18" width="4.1640625" style="402" bestFit="1" customWidth="1"/>
    <col min="19" max="19" width="6" style="402" customWidth="1"/>
    <col min="20" max="20" width="10.1640625" style="402" customWidth="1"/>
    <col min="21" max="22" width="9.33203125" style="402"/>
    <col min="23" max="23" width="6.6640625" style="402" customWidth="1"/>
    <col min="24" max="16384" width="9.33203125" style="402"/>
  </cols>
  <sheetData>
    <row r="1" spans="2:24" x14ac:dyDescent="0.2">
      <c r="C1" s="402" t="s">
        <v>576</v>
      </c>
      <c r="D1" s="402" t="s">
        <v>577</v>
      </c>
      <c r="E1" s="402" t="s">
        <v>579</v>
      </c>
      <c r="F1" s="402" t="s">
        <v>578</v>
      </c>
      <c r="G1" s="402" t="s">
        <v>572</v>
      </c>
      <c r="H1" s="402" t="s">
        <v>573</v>
      </c>
      <c r="I1" s="402" t="s">
        <v>574</v>
      </c>
      <c r="J1" s="402" t="s">
        <v>581</v>
      </c>
      <c r="K1" s="402" t="s">
        <v>582</v>
      </c>
      <c r="L1" s="402" t="s">
        <v>585</v>
      </c>
      <c r="M1" s="402" t="s">
        <v>583</v>
      </c>
      <c r="N1" s="402" t="s">
        <v>584</v>
      </c>
      <c r="O1" s="402" t="s">
        <v>589</v>
      </c>
      <c r="P1" s="402" t="s">
        <v>570</v>
      </c>
      <c r="Q1" s="402" t="s">
        <v>586</v>
      </c>
      <c r="R1" s="402" t="s">
        <v>587</v>
      </c>
      <c r="T1" s="402" t="s">
        <v>637</v>
      </c>
      <c r="U1" s="402" t="s">
        <v>576</v>
      </c>
      <c r="W1" s="402" t="s">
        <v>640</v>
      </c>
      <c r="X1" s="402" t="s">
        <v>641</v>
      </c>
    </row>
    <row r="2" spans="2:24" x14ac:dyDescent="0.2">
      <c r="B2" s="403" t="s">
        <v>556</v>
      </c>
      <c r="C2" s="403" t="s">
        <v>580</v>
      </c>
      <c r="D2" s="403" t="s">
        <v>580</v>
      </c>
      <c r="E2" s="403" t="s">
        <v>580</v>
      </c>
      <c r="F2" s="403" t="s">
        <v>571</v>
      </c>
      <c r="G2" s="403" t="s">
        <v>571</v>
      </c>
      <c r="H2" s="403" t="s">
        <v>571</v>
      </c>
      <c r="I2" s="403" t="s">
        <v>575</v>
      </c>
      <c r="T2" s="402" t="s">
        <v>638</v>
      </c>
    </row>
    <row r="3" spans="2:24" x14ac:dyDescent="0.2">
      <c r="B3" s="402" t="s">
        <v>559</v>
      </c>
      <c r="C3" s="402">
        <v>3.56</v>
      </c>
      <c r="D3" s="402">
        <v>4.585</v>
      </c>
      <c r="E3" s="402">
        <v>3.5</v>
      </c>
      <c r="F3" s="405">
        <f>C3*D3</f>
        <v>16.322600000000001</v>
      </c>
      <c r="G3" s="405">
        <f>SUM(C3+D3+C3+D3)*E3</f>
        <v>57.015000000000001</v>
      </c>
      <c r="H3" s="405">
        <f>F3</f>
        <v>16.322600000000001</v>
      </c>
      <c r="I3" s="405">
        <f>SUM(E3+F3+E3+F3)</f>
        <v>39.645200000000003</v>
      </c>
      <c r="J3" s="402">
        <v>1</v>
      </c>
      <c r="K3" s="402">
        <v>1</v>
      </c>
      <c r="Q3" s="402">
        <v>1</v>
      </c>
      <c r="T3" s="402">
        <v>97</v>
      </c>
      <c r="U3" s="402">
        <v>6.2</v>
      </c>
      <c r="V3" s="402">
        <f>T3*U3</f>
        <v>601.4</v>
      </c>
      <c r="W3" s="402">
        <v>2</v>
      </c>
      <c r="X3" s="402">
        <v>1</v>
      </c>
    </row>
    <row r="4" spans="2:24" x14ac:dyDescent="0.2">
      <c r="B4" s="402" t="s">
        <v>561</v>
      </c>
      <c r="C4" s="402">
        <v>2</v>
      </c>
      <c r="D4" s="402">
        <v>1.67</v>
      </c>
      <c r="E4" s="402">
        <v>3.5</v>
      </c>
      <c r="F4" s="405">
        <f>C4*D4</f>
        <v>3.34</v>
      </c>
      <c r="G4" s="405">
        <f>SUM(C4+D4+C4+D4)*E4</f>
        <v>25.689999999999998</v>
      </c>
      <c r="H4" s="405">
        <f>F4</f>
        <v>3.34</v>
      </c>
      <c r="I4" s="405">
        <f>SUM(E4+F4+E4+F4)</f>
        <v>13.68</v>
      </c>
      <c r="J4" s="402">
        <v>1</v>
      </c>
      <c r="M4" s="402">
        <v>1</v>
      </c>
      <c r="N4" s="402">
        <v>1</v>
      </c>
      <c r="Q4" s="402">
        <v>1</v>
      </c>
      <c r="T4" s="402">
        <v>32</v>
      </c>
      <c r="U4" s="402">
        <v>6</v>
      </c>
      <c r="V4" s="402">
        <f t="shared" ref="V4:V5" si="0">T4*U4</f>
        <v>192</v>
      </c>
      <c r="W4" s="402">
        <v>1</v>
      </c>
      <c r="X4" s="402">
        <v>2</v>
      </c>
    </row>
    <row r="5" spans="2:24" x14ac:dyDescent="0.2">
      <c r="B5" s="402" t="s">
        <v>560</v>
      </c>
      <c r="C5" s="402">
        <v>5</v>
      </c>
      <c r="D5" s="402">
        <v>2</v>
      </c>
      <c r="E5" s="402">
        <v>3.5</v>
      </c>
      <c r="F5" s="405">
        <f t="shared" ref="F5:F12" si="1">C5*D5</f>
        <v>10</v>
      </c>
      <c r="G5" s="405">
        <f t="shared" ref="G5:G12" si="2">SUM(C5+D5+C5+D5)*E5</f>
        <v>49</v>
      </c>
      <c r="H5" s="405">
        <f t="shared" ref="H5:H12" si="3">F5</f>
        <v>10</v>
      </c>
      <c r="I5" s="405">
        <f t="shared" ref="I5:I12" si="4">SUM(E5+F5+E5+F5)</f>
        <v>27</v>
      </c>
      <c r="J5" s="402">
        <v>1</v>
      </c>
      <c r="K5" s="402">
        <v>1</v>
      </c>
      <c r="Q5" s="402">
        <v>1</v>
      </c>
      <c r="T5" s="402">
        <v>13</v>
      </c>
      <c r="U5" s="402">
        <v>6</v>
      </c>
      <c r="V5" s="402">
        <f t="shared" si="0"/>
        <v>78</v>
      </c>
      <c r="W5" s="402">
        <v>1</v>
      </c>
      <c r="X5" s="402">
        <v>2</v>
      </c>
    </row>
    <row r="6" spans="2:24" x14ac:dyDescent="0.2">
      <c r="B6" s="402" t="s">
        <v>562</v>
      </c>
      <c r="C6" s="402">
        <v>2</v>
      </c>
      <c r="D6" s="402">
        <v>1.7</v>
      </c>
      <c r="E6" s="402">
        <v>3.5</v>
      </c>
      <c r="F6" s="405">
        <f t="shared" si="1"/>
        <v>3.4</v>
      </c>
      <c r="G6" s="405">
        <f t="shared" si="2"/>
        <v>25.900000000000002</v>
      </c>
      <c r="H6" s="405">
        <f t="shared" si="3"/>
        <v>3.4</v>
      </c>
      <c r="I6" s="405">
        <f t="shared" si="4"/>
        <v>13.8</v>
      </c>
      <c r="J6" s="402">
        <v>1</v>
      </c>
      <c r="M6" s="402">
        <v>1</v>
      </c>
      <c r="N6" s="402">
        <v>1</v>
      </c>
      <c r="O6" s="402">
        <v>1</v>
      </c>
      <c r="P6" s="402">
        <v>1</v>
      </c>
      <c r="Q6" s="402">
        <v>1</v>
      </c>
    </row>
    <row r="7" spans="2:24" x14ac:dyDescent="0.2">
      <c r="B7" s="402" t="s">
        <v>563</v>
      </c>
      <c r="C7" s="402">
        <v>4.5999999999999996</v>
      </c>
      <c r="D7" s="402">
        <v>4.585</v>
      </c>
      <c r="E7" s="402">
        <v>3.5</v>
      </c>
      <c r="F7" s="405">
        <f t="shared" si="1"/>
        <v>21.090999999999998</v>
      </c>
      <c r="G7" s="405">
        <f t="shared" si="2"/>
        <v>64.294999999999987</v>
      </c>
      <c r="H7" s="405">
        <f t="shared" si="3"/>
        <v>21.090999999999998</v>
      </c>
      <c r="I7" s="405">
        <f t="shared" si="4"/>
        <v>49.181999999999995</v>
      </c>
      <c r="J7" s="402">
        <v>1</v>
      </c>
      <c r="K7" s="402">
        <v>1</v>
      </c>
      <c r="M7" s="402">
        <v>1</v>
      </c>
      <c r="Q7" s="402">
        <v>1</v>
      </c>
      <c r="R7" s="402">
        <v>1</v>
      </c>
    </row>
    <row r="8" spans="2:24" x14ac:dyDescent="0.2">
      <c r="B8" s="402" t="s">
        <v>564</v>
      </c>
      <c r="C8" s="402">
        <v>2</v>
      </c>
      <c r="D8" s="402">
        <v>2.5</v>
      </c>
      <c r="E8" s="402">
        <v>3.5</v>
      </c>
      <c r="F8" s="402">
        <f t="shared" si="1"/>
        <v>5</v>
      </c>
      <c r="G8" s="402">
        <f t="shared" si="2"/>
        <v>31.5</v>
      </c>
      <c r="H8" s="402">
        <f t="shared" si="3"/>
        <v>5</v>
      </c>
      <c r="I8" s="402">
        <f t="shared" si="4"/>
        <v>17</v>
      </c>
      <c r="J8" s="402">
        <v>1</v>
      </c>
      <c r="Q8" s="402">
        <v>1</v>
      </c>
    </row>
    <row r="9" spans="2:24" x14ac:dyDescent="0.2">
      <c r="B9" s="402" t="s">
        <v>588</v>
      </c>
      <c r="C9" s="402">
        <v>2</v>
      </c>
      <c r="D9" s="402">
        <v>4</v>
      </c>
      <c r="E9" s="402">
        <v>3.5</v>
      </c>
      <c r="F9" s="402">
        <f t="shared" si="1"/>
        <v>8</v>
      </c>
      <c r="G9" s="402">
        <f t="shared" si="2"/>
        <v>42</v>
      </c>
      <c r="H9" s="402">
        <f t="shared" si="3"/>
        <v>8</v>
      </c>
      <c r="I9" s="402">
        <f t="shared" si="4"/>
        <v>23</v>
      </c>
      <c r="J9" s="402">
        <v>2</v>
      </c>
      <c r="Q9" s="402">
        <v>1</v>
      </c>
    </row>
    <row r="10" spans="2:24" ht="7.5" customHeight="1" x14ac:dyDescent="0.2"/>
    <row r="11" spans="2:24" x14ac:dyDescent="0.2">
      <c r="B11" s="403" t="s">
        <v>557</v>
      </c>
      <c r="C11" s="403"/>
      <c r="D11" s="403"/>
      <c r="E11" s="403"/>
    </row>
    <row r="12" spans="2:24" x14ac:dyDescent="0.2">
      <c r="B12" s="402" t="s">
        <v>559</v>
      </c>
      <c r="C12" s="402">
        <v>3.4449999999999998</v>
      </c>
      <c r="D12" s="402">
        <v>4.585</v>
      </c>
      <c r="E12" s="402">
        <v>2.6</v>
      </c>
      <c r="F12" s="404">
        <f t="shared" si="1"/>
        <v>15.795324999999998</v>
      </c>
      <c r="G12" s="404">
        <f t="shared" si="2"/>
        <v>41.756</v>
      </c>
      <c r="H12" s="404">
        <f t="shared" si="3"/>
        <v>15.795324999999998</v>
      </c>
      <c r="I12" s="404">
        <f t="shared" si="4"/>
        <v>36.790649999999999</v>
      </c>
      <c r="J12" s="402">
        <v>1</v>
      </c>
      <c r="K12" s="402">
        <v>1</v>
      </c>
      <c r="Q12" s="402">
        <v>1</v>
      </c>
      <c r="S12" s="402" t="s">
        <v>642</v>
      </c>
      <c r="T12" s="402">
        <v>73</v>
      </c>
      <c r="U12" s="402">
        <v>6.2</v>
      </c>
      <c r="V12" s="402">
        <f>T12*U12</f>
        <v>452.6</v>
      </c>
      <c r="W12" s="402">
        <v>15</v>
      </c>
      <c r="X12" s="402">
        <v>1</v>
      </c>
    </row>
    <row r="13" spans="2:24" x14ac:dyDescent="0.2">
      <c r="B13" s="402" t="s">
        <v>561</v>
      </c>
      <c r="C13" s="402">
        <v>1.915</v>
      </c>
      <c r="D13" s="402">
        <v>1.95</v>
      </c>
      <c r="E13" s="402">
        <v>2.6</v>
      </c>
      <c r="F13" s="404">
        <f t="shared" ref="F13:F19" si="5">C13*D13</f>
        <v>3.7342499999999998</v>
      </c>
      <c r="G13" s="404">
        <f t="shared" ref="G13:G19" si="6">SUM(C13+D13+C13+D13)*E13</f>
        <v>20.098000000000003</v>
      </c>
      <c r="H13" s="404">
        <f t="shared" ref="H13:H19" si="7">F13</f>
        <v>3.7342499999999998</v>
      </c>
      <c r="I13" s="404">
        <f t="shared" ref="I13:I19" si="8">SUM(E13+F13+E13+F13)</f>
        <v>12.6685</v>
      </c>
      <c r="J13" s="402">
        <v>1</v>
      </c>
      <c r="K13" s="402">
        <v>1</v>
      </c>
      <c r="M13" s="402">
        <v>1</v>
      </c>
      <c r="Q13" s="402">
        <v>1</v>
      </c>
      <c r="S13" s="402" t="s">
        <v>643</v>
      </c>
      <c r="T13" s="402">
        <v>23</v>
      </c>
      <c r="U13" s="402">
        <v>3</v>
      </c>
      <c r="V13" s="402">
        <f t="shared" ref="V13:V28" si="9">T13*U13</f>
        <v>69</v>
      </c>
    </row>
    <row r="14" spans="2:24" x14ac:dyDescent="0.2">
      <c r="B14" s="402" t="s">
        <v>560</v>
      </c>
      <c r="C14" s="402">
        <v>2.62</v>
      </c>
      <c r="D14" s="402">
        <v>3.585</v>
      </c>
      <c r="E14" s="402">
        <v>2.6</v>
      </c>
      <c r="F14" s="404">
        <f t="shared" si="5"/>
        <v>9.3926999999999996</v>
      </c>
      <c r="G14" s="404">
        <f t="shared" si="6"/>
        <v>32.265999999999998</v>
      </c>
      <c r="H14" s="404">
        <f t="shared" si="7"/>
        <v>9.3926999999999996</v>
      </c>
      <c r="I14" s="404">
        <f t="shared" si="8"/>
        <v>23.985399999999998</v>
      </c>
      <c r="J14" s="402">
        <v>1</v>
      </c>
      <c r="K14" s="402">
        <v>1</v>
      </c>
      <c r="Q14" s="402">
        <v>1</v>
      </c>
      <c r="S14" s="402" t="s">
        <v>644</v>
      </c>
      <c r="T14" s="402">
        <v>23</v>
      </c>
      <c r="U14" s="402">
        <v>2</v>
      </c>
      <c r="V14" s="402">
        <f t="shared" si="9"/>
        <v>46</v>
      </c>
    </row>
    <row r="15" spans="2:24" x14ac:dyDescent="0.2">
      <c r="B15" s="402" t="s">
        <v>562</v>
      </c>
      <c r="C15" s="402">
        <v>2.0209999999999999</v>
      </c>
      <c r="D15" s="402">
        <v>1.95</v>
      </c>
      <c r="E15" s="402">
        <v>2.6</v>
      </c>
      <c r="F15" s="404">
        <f t="shared" si="5"/>
        <v>3.9409499999999995</v>
      </c>
      <c r="G15" s="404">
        <f t="shared" si="6"/>
        <v>20.6492</v>
      </c>
      <c r="H15" s="404">
        <f t="shared" si="7"/>
        <v>3.9409499999999995</v>
      </c>
      <c r="I15" s="404">
        <f t="shared" si="8"/>
        <v>13.081899999999999</v>
      </c>
      <c r="J15" s="402">
        <v>1</v>
      </c>
      <c r="M15" s="402">
        <v>1</v>
      </c>
      <c r="Q15" s="402">
        <v>1</v>
      </c>
      <c r="S15" s="402" t="s">
        <v>645</v>
      </c>
      <c r="T15" s="402">
        <v>16</v>
      </c>
      <c r="U15" s="402">
        <v>4</v>
      </c>
      <c r="V15" s="402">
        <f t="shared" si="9"/>
        <v>64</v>
      </c>
    </row>
    <row r="16" spans="2:24" x14ac:dyDescent="0.2">
      <c r="B16" s="402" t="s">
        <v>563</v>
      </c>
      <c r="C16" s="402">
        <v>4.4550000000000001</v>
      </c>
      <c r="D16" s="402">
        <v>4</v>
      </c>
      <c r="E16" s="402">
        <v>2.6</v>
      </c>
      <c r="F16" s="404">
        <f t="shared" si="5"/>
        <v>17.82</v>
      </c>
      <c r="G16" s="404">
        <f t="shared" si="6"/>
        <v>43.966000000000001</v>
      </c>
      <c r="H16" s="404">
        <f t="shared" si="7"/>
        <v>17.82</v>
      </c>
      <c r="I16" s="404">
        <f t="shared" si="8"/>
        <v>40.840000000000003</v>
      </c>
      <c r="J16" s="402">
        <v>1</v>
      </c>
      <c r="K16" s="402">
        <v>1</v>
      </c>
      <c r="M16" s="402">
        <v>1</v>
      </c>
      <c r="O16" s="402">
        <v>1</v>
      </c>
      <c r="P16" s="402">
        <v>1</v>
      </c>
      <c r="Q16" s="402">
        <v>1</v>
      </c>
      <c r="R16" s="402">
        <v>1</v>
      </c>
      <c r="S16" s="402" t="s">
        <v>646</v>
      </c>
      <c r="T16" s="402">
        <v>16</v>
      </c>
      <c r="U16" s="402">
        <v>5</v>
      </c>
      <c r="V16" s="402">
        <f t="shared" si="9"/>
        <v>80</v>
      </c>
      <c r="X16" s="402">
        <v>1</v>
      </c>
    </row>
    <row r="17" spans="2:24" x14ac:dyDescent="0.2">
      <c r="B17" s="402" t="s">
        <v>564</v>
      </c>
      <c r="C17" s="402">
        <v>1</v>
      </c>
      <c r="D17" s="402">
        <v>2.6</v>
      </c>
      <c r="E17" s="402">
        <v>2.6</v>
      </c>
      <c r="F17" s="404">
        <f t="shared" si="5"/>
        <v>2.6</v>
      </c>
      <c r="G17" s="404">
        <f t="shared" si="6"/>
        <v>18.72</v>
      </c>
      <c r="H17" s="404">
        <f t="shared" si="7"/>
        <v>2.6</v>
      </c>
      <c r="I17" s="404">
        <f t="shared" si="8"/>
        <v>10.4</v>
      </c>
      <c r="J17" s="402">
        <v>1</v>
      </c>
      <c r="Q17" s="402">
        <v>1</v>
      </c>
      <c r="S17" s="402" t="s">
        <v>647</v>
      </c>
      <c r="T17" s="402">
        <v>23</v>
      </c>
      <c r="U17" s="402">
        <v>6.2</v>
      </c>
      <c r="V17" s="402">
        <f t="shared" si="9"/>
        <v>142.6</v>
      </c>
      <c r="X17" s="402">
        <v>1</v>
      </c>
    </row>
    <row r="18" spans="2:24" x14ac:dyDescent="0.2">
      <c r="B18" s="402" t="s">
        <v>565</v>
      </c>
      <c r="C18" s="402">
        <v>0.6</v>
      </c>
      <c r="D18" s="402">
        <v>1.2</v>
      </c>
      <c r="E18" s="402">
        <v>2.6</v>
      </c>
      <c r="F18" s="404">
        <f t="shared" si="5"/>
        <v>0.72</v>
      </c>
      <c r="G18" s="404">
        <f t="shared" si="6"/>
        <v>9.36</v>
      </c>
      <c r="H18" s="404">
        <f t="shared" si="7"/>
        <v>0.72</v>
      </c>
      <c r="I18" s="404">
        <f t="shared" si="8"/>
        <v>6.64</v>
      </c>
      <c r="J18" s="402">
        <v>3</v>
      </c>
      <c r="Q18" s="402">
        <v>1</v>
      </c>
      <c r="S18" s="402" t="s">
        <v>648</v>
      </c>
      <c r="T18" s="402">
        <v>23</v>
      </c>
      <c r="U18" s="402">
        <v>6.2</v>
      </c>
      <c r="V18" s="402">
        <f t="shared" si="9"/>
        <v>142.6</v>
      </c>
      <c r="X18" s="402">
        <v>1</v>
      </c>
    </row>
    <row r="19" spans="2:24" x14ac:dyDescent="0.2">
      <c r="B19" s="402" t="s">
        <v>566</v>
      </c>
      <c r="C19" s="402">
        <v>2</v>
      </c>
      <c r="D19" s="402">
        <v>4</v>
      </c>
      <c r="E19" s="402">
        <v>2.6</v>
      </c>
      <c r="F19" s="404">
        <f t="shared" si="5"/>
        <v>8</v>
      </c>
      <c r="G19" s="404">
        <f t="shared" si="6"/>
        <v>31.200000000000003</v>
      </c>
      <c r="H19" s="404">
        <f t="shared" si="7"/>
        <v>8</v>
      </c>
      <c r="I19" s="404">
        <f t="shared" si="8"/>
        <v>21.2</v>
      </c>
      <c r="J19" s="402">
        <v>1</v>
      </c>
      <c r="K19" s="402">
        <v>1</v>
      </c>
      <c r="Q19" s="402">
        <v>1</v>
      </c>
      <c r="S19" s="402" t="s">
        <v>649</v>
      </c>
      <c r="T19" s="402">
        <v>73</v>
      </c>
      <c r="U19" s="402">
        <v>5.2</v>
      </c>
      <c r="V19" s="402">
        <f t="shared" si="9"/>
        <v>379.6</v>
      </c>
      <c r="X19" s="402">
        <v>1</v>
      </c>
    </row>
    <row r="20" spans="2:24" ht="12.75" customHeight="1" x14ac:dyDescent="0.2">
      <c r="S20" s="402" t="s">
        <v>650</v>
      </c>
      <c r="T20" s="402">
        <v>71</v>
      </c>
      <c r="U20" s="402">
        <v>6.5</v>
      </c>
      <c r="V20" s="402">
        <f t="shared" si="9"/>
        <v>461.5</v>
      </c>
      <c r="X20" s="402">
        <v>1</v>
      </c>
    </row>
    <row r="21" spans="2:24" x14ac:dyDescent="0.2">
      <c r="B21" s="403" t="s">
        <v>558</v>
      </c>
      <c r="C21" s="403"/>
      <c r="D21" s="403"/>
      <c r="E21" s="403"/>
      <c r="S21" s="402" t="s">
        <v>651</v>
      </c>
      <c r="T21" s="402">
        <v>46</v>
      </c>
      <c r="U21" s="402">
        <v>2.5</v>
      </c>
      <c r="V21" s="402">
        <f t="shared" si="9"/>
        <v>115</v>
      </c>
    </row>
    <row r="22" spans="2:24" x14ac:dyDescent="0.2">
      <c r="B22" s="402" t="s">
        <v>567</v>
      </c>
      <c r="C22" s="402">
        <v>3.8849999999999998</v>
      </c>
      <c r="D22" s="402">
        <v>4.2</v>
      </c>
      <c r="E22" s="402">
        <v>2.4</v>
      </c>
      <c r="F22" s="405">
        <f t="shared" ref="F22" si="10">C22*D22</f>
        <v>16.317</v>
      </c>
      <c r="G22" s="405">
        <f t="shared" ref="G22" si="11">SUM(C22+D22+C22+D22)*E22</f>
        <v>38.808</v>
      </c>
      <c r="H22" s="405">
        <f t="shared" ref="H22" si="12">F22</f>
        <v>16.317</v>
      </c>
      <c r="I22" s="405">
        <f t="shared" ref="I22" si="13">SUM(E22+F22+E22+F22)</f>
        <v>37.433999999999997</v>
      </c>
      <c r="J22" s="402">
        <v>1</v>
      </c>
      <c r="K22" s="402">
        <v>1</v>
      </c>
      <c r="Q22" s="402">
        <v>1</v>
      </c>
    </row>
    <row r="23" spans="2:24" x14ac:dyDescent="0.2">
      <c r="B23" s="402" t="s">
        <v>568</v>
      </c>
      <c r="C23" s="402">
        <v>1.7</v>
      </c>
      <c r="D23" s="402">
        <v>2</v>
      </c>
      <c r="E23" s="402">
        <v>2.4</v>
      </c>
      <c r="F23" s="405">
        <f t="shared" ref="F23:F27" si="14">C23*D23</f>
        <v>3.4</v>
      </c>
      <c r="G23" s="405">
        <f t="shared" ref="G23:G27" si="15">SUM(C23+D23+C23+D23)*E23</f>
        <v>17.760000000000002</v>
      </c>
      <c r="H23" s="405">
        <f t="shared" ref="H23:H27" si="16">F23</f>
        <v>3.4</v>
      </c>
      <c r="I23" s="405">
        <f t="shared" ref="I23:I27" si="17">SUM(E23+F23+E23+F23)</f>
        <v>11.6</v>
      </c>
      <c r="J23" s="402">
        <v>1</v>
      </c>
      <c r="M23" s="402">
        <v>1</v>
      </c>
      <c r="N23" s="402">
        <v>1</v>
      </c>
      <c r="Q23" s="402">
        <v>1</v>
      </c>
      <c r="S23" s="402" t="s">
        <v>652</v>
      </c>
      <c r="T23" s="402">
        <v>46</v>
      </c>
      <c r="U23" s="402">
        <v>5</v>
      </c>
      <c r="V23" s="402">
        <f t="shared" si="9"/>
        <v>230</v>
      </c>
      <c r="W23" s="402">
        <v>5</v>
      </c>
      <c r="X23" s="402">
        <v>1</v>
      </c>
    </row>
    <row r="24" spans="2:24" x14ac:dyDescent="0.2">
      <c r="B24" s="402" t="s">
        <v>569</v>
      </c>
      <c r="C24" s="402">
        <v>4.6550000000000002</v>
      </c>
      <c r="D24" s="402">
        <v>3.1</v>
      </c>
      <c r="E24" s="402">
        <v>2.4</v>
      </c>
      <c r="F24" s="405">
        <f t="shared" si="14"/>
        <v>14.4305</v>
      </c>
      <c r="G24" s="405">
        <f t="shared" si="15"/>
        <v>37.223999999999997</v>
      </c>
      <c r="H24" s="405">
        <f t="shared" si="16"/>
        <v>14.4305</v>
      </c>
      <c r="I24" s="405">
        <f t="shared" si="17"/>
        <v>33.661000000000001</v>
      </c>
      <c r="J24" s="402">
        <v>1</v>
      </c>
      <c r="K24" s="402">
        <v>1</v>
      </c>
      <c r="Q24" s="402">
        <v>1</v>
      </c>
      <c r="S24" s="402" t="s">
        <v>653</v>
      </c>
      <c r="T24" s="402">
        <v>46</v>
      </c>
      <c r="U24" s="402">
        <v>5</v>
      </c>
      <c r="V24" s="402">
        <f t="shared" si="9"/>
        <v>230</v>
      </c>
      <c r="X24" s="402">
        <v>1</v>
      </c>
    </row>
    <row r="25" spans="2:24" x14ac:dyDescent="0.2">
      <c r="B25" s="402" t="s">
        <v>570</v>
      </c>
      <c r="C25" s="402">
        <v>4.8</v>
      </c>
      <c r="D25" s="402">
        <v>1.83</v>
      </c>
      <c r="E25" s="402">
        <v>2.4</v>
      </c>
      <c r="F25" s="405">
        <f t="shared" si="14"/>
        <v>8.7840000000000007</v>
      </c>
      <c r="G25" s="405">
        <f t="shared" si="15"/>
        <v>31.823999999999998</v>
      </c>
      <c r="H25" s="405">
        <f t="shared" si="16"/>
        <v>8.7840000000000007</v>
      </c>
      <c r="I25" s="405">
        <f t="shared" si="17"/>
        <v>22.368000000000002</v>
      </c>
      <c r="J25" s="402">
        <v>1</v>
      </c>
      <c r="K25" s="402">
        <v>1</v>
      </c>
      <c r="M25" s="402">
        <v>1</v>
      </c>
      <c r="O25" s="402">
        <v>1</v>
      </c>
      <c r="P25" s="402">
        <v>1</v>
      </c>
      <c r="Q25" s="402">
        <v>1</v>
      </c>
      <c r="R25" s="402">
        <v>1</v>
      </c>
      <c r="S25" s="402" t="s">
        <v>654</v>
      </c>
      <c r="T25" s="402">
        <v>46</v>
      </c>
      <c r="U25" s="402">
        <v>5</v>
      </c>
      <c r="V25" s="402">
        <f t="shared" si="9"/>
        <v>230</v>
      </c>
      <c r="X25" s="402">
        <v>1</v>
      </c>
    </row>
    <row r="26" spans="2:24" x14ac:dyDescent="0.2">
      <c r="B26" s="402" t="s">
        <v>564</v>
      </c>
      <c r="C26" s="402">
        <v>2</v>
      </c>
      <c r="D26" s="402">
        <v>3</v>
      </c>
      <c r="E26" s="402">
        <v>2.4</v>
      </c>
      <c r="F26" s="405">
        <f t="shared" si="14"/>
        <v>6</v>
      </c>
      <c r="G26" s="405">
        <f t="shared" si="15"/>
        <v>24</v>
      </c>
      <c r="H26" s="405">
        <f t="shared" si="16"/>
        <v>6</v>
      </c>
      <c r="I26" s="405">
        <f t="shared" si="17"/>
        <v>16.8</v>
      </c>
      <c r="J26" s="402">
        <v>1</v>
      </c>
      <c r="Q26" s="402">
        <v>1</v>
      </c>
      <c r="S26" s="402" t="s">
        <v>642</v>
      </c>
      <c r="T26" s="402">
        <v>46</v>
      </c>
      <c r="U26" s="402">
        <v>8</v>
      </c>
      <c r="V26" s="402">
        <f t="shared" si="9"/>
        <v>368</v>
      </c>
      <c r="X26" s="402">
        <v>1</v>
      </c>
    </row>
    <row r="27" spans="2:24" x14ac:dyDescent="0.2">
      <c r="B27" s="402" t="s">
        <v>566</v>
      </c>
      <c r="C27" s="402">
        <v>4</v>
      </c>
      <c r="D27" s="402">
        <v>2</v>
      </c>
      <c r="E27" s="402">
        <v>2.4</v>
      </c>
      <c r="F27" s="405">
        <f t="shared" si="14"/>
        <v>8</v>
      </c>
      <c r="G27" s="405">
        <f t="shared" si="15"/>
        <v>28.799999999999997</v>
      </c>
      <c r="H27" s="405">
        <f t="shared" si="16"/>
        <v>8</v>
      </c>
      <c r="I27" s="405">
        <f t="shared" si="17"/>
        <v>20.8</v>
      </c>
      <c r="J27" s="402">
        <v>1</v>
      </c>
      <c r="K27" s="402">
        <v>1</v>
      </c>
      <c r="Q27" s="402">
        <v>1</v>
      </c>
      <c r="S27" s="402" t="s">
        <v>643</v>
      </c>
      <c r="T27" s="402">
        <v>23</v>
      </c>
      <c r="U27" s="402">
        <v>2</v>
      </c>
      <c r="V27" s="402">
        <f t="shared" si="9"/>
        <v>46</v>
      </c>
    </row>
    <row r="28" spans="2:24" x14ac:dyDescent="0.2">
      <c r="S28" s="402" t="s">
        <v>655</v>
      </c>
      <c r="T28" s="402">
        <v>46</v>
      </c>
      <c r="U28" s="402">
        <v>10</v>
      </c>
      <c r="V28" s="402">
        <f t="shared" si="9"/>
        <v>460</v>
      </c>
    </row>
    <row r="29" spans="2:24" x14ac:dyDescent="0.2">
      <c r="F29" s="405">
        <f t="shared" ref="F29:H29" si="18">SUM(F3:F28)</f>
        <v>186.088325</v>
      </c>
      <c r="G29" s="405">
        <f t="shared" si="18"/>
        <v>691.83119999999997</v>
      </c>
      <c r="H29" s="405">
        <f t="shared" si="18"/>
        <v>186.088325</v>
      </c>
      <c r="I29" s="405">
        <f>SUM(I3:I28)</f>
        <v>491.57665000000009</v>
      </c>
      <c r="J29" s="402">
        <f>SUM(J3:J28)</f>
        <v>24</v>
      </c>
      <c r="K29" s="402">
        <f>SUM(K3:K28)</f>
        <v>12</v>
      </c>
      <c r="L29" s="402">
        <f t="shared" ref="L29:R29" si="19">SUM(L3:L28)</f>
        <v>0</v>
      </c>
      <c r="M29" s="402">
        <f t="shared" si="19"/>
        <v>8</v>
      </c>
      <c r="N29" s="402">
        <f t="shared" si="19"/>
        <v>3</v>
      </c>
      <c r="O29" s="402">
        <f t="shared" si="19"/>
        <v>3</v>
      </c>
      <c r="P29" s="402">
        <f t="shared" si="19"/>
        <v>3</v>
      </c>
      <c r="Q29" s="402">
        <f t="shared" si="19"/>
        <v>21</v>
      </c>
      <c r="R29" s="402">
        <f t="shared" si="19"/>
        <v>3</v>
      </c>
      <c r="V29" s="402">
        <f>SUM(V3:V28)</f>
        <v>4388.2999999999993</v>
      </c>
      <c r="W29" s="402">
        <f t="shared" ref="W29:X29" si="20">SUM(W3:W28)</f>
        <v>24</v>
      </c>
      <c r="X29" s="402">
        <f t="shared" si="20"/>
        <v>15</v>
      </c>
    </row>
    <row r="30" spans="2:24" x14ac:dyDescent="0.2">
      <c r="V30" s="402">
        <f>V29/900</f>
        <v>4.8758888888888885</v>
      </c>
      <c r="W30" s="402" t="s">
        <v>656</v>
      </c>
    </row>
    <row r="31" spans="2:24" x14ac:dyDescent="0.2">
      <c r="I31" s="402" t="s">
        <v>672</v>
      </c>
      <c r="J31" s="402">
        <v>80</v>
      </c>
    </row>
    <row r="32" spans="2:24" x14ac:dyDescent="0.2">
      <c r="J32" s="402">
        <f>J29*J31</f>
        <v>1920</v>
      </c>
      <c r="S32" s="402" t="s">
        <v>657</v>
      </c>
      <c r="T32" s="402">
        <v>1420</v>
      </c>
      <c r="U32" s="402">
        <f>V30*T32</f>
        <v>6923.7622222222217</v>
      </c>
    </row>
    <row r="33" spans="6:21" x14ac:dyDescent="0.2">
      <c r="S33" s="402" t="s">
        <v>640</v>
      </c>
      <c r="T33" s="402">
        <v>190</v>
      </c>
      <c r="U33" s="402">
        <f>W29*T33</f>
        <v>4560</v>
      </c>
    </row>
    <row r="34" spans="6:21" x14ac:dyDescent="0.2">
      <c r="I34" s="402" t="s">
        <v>673</v>
      </c>
      <c r="J34" s="402">
        <v>280</v>
      </c>
      <c r="S34" s="402" t="s">
        <v>658</v>
      </c>
      <c r="T34" s="402">
        <v>140</v>
      </c>
      <c r="U34" s="402">
        <f>X29*T34</f>
        <v>2100</v>
      </c>
    </row>
    <row r="35" spans="6:21" x14ac:dyDescent="0.2">
      <c r="J35" s="402">
        <f>J29*J34</f>
        <v>6720</v>
      </c>
      <c r="S35" s="402" t="s">
        <v>659</v>
      </c>
      <c r="T35" s="402">
        <v>250</v>
      </c>
      <c r="U35" s="402">
        <f>T35</f>
        <v>250</v>
      </c>
    </row>
    <row r="36" spans="6:21" x14ac:dyDescent="0.2">
      <c r="F36" s="402">
        <v>650</v>
      </c>
      <c r="G36" s="402">
        <v>4</v>
      </c>
      <c r="H36" s="402">
        <f>F36*G36</f>
        <v>2600</v>
      </c>
      <c r="S36" s="402" t="s">
        <v>660</v>
      </c>
      <c r="T36" s="402">
        <v>400</v>
      </c>
      <c r="U36" s="402">
        <f>T36</f>
        <v>400</v>
      </c>
    </row>
    <row r="37" spans="6:21" x14ac:dyDescent="0.2">
      <c r="F37" s="402">
        <v>60</v>
      </c>
      <c r="G37" s="402">
        <v>100</v>
      </c>
      <c r="H37" s="402">
        <f t="shared" ref="H37:H50" si="21">F37*G37</f>
        <v>6000</v>
      </c>
      <c r="U37" s="402">
        <f>SUM(U32:U36)</f>
        <v>14233.762222222222</v>
      </c>
    </row>
    <row r="38" spans="6:21" x14ac:dyDescent="0.2">
      <c r="F38" s="402">
        <v>60</v>
      </c>
      <c r="G38" s="402">
        <v>24</v>
      </c>
      <c r="H38" s="402">
        <f t="shared" si="21"/>
        <v>1440</v>
      </c>
    </row>
    <row r="39" spans="6:21" x14ac:dyDescent="0.2">
      <c r="F39" s="402">
        <v>130</v>
      </c>
      <c r="H39" s="402">
        <f t="shared" si="21"/>
        <v>0</v>
      </c>
    </row>
    <row r="40" spans="6:21" x14ac:dyDescent="0.2">
      <c r="F40" s="402">
        <v>60</v>
      </c>
      <c r="G40" s="402">
        <v>5</v>
      </c>
      <c r="H40" s="402">
        <f t="shared" si="21"/>
        <v>300</v>
      </c>
    </row>
    <row r="41" spans="6:21" x14ac:dyDescent="0.2">
      <c r="F41" s="402">
        <v>55</v>
      </c>
      <c r="G41" s="402">
        <v>24</v>
      </c>
      <c r="H41" s="402">
        <f t="shared" si="21"/>
        <v>1320</v>
      </c>
    </row>
    <row r="42" spans="6:21" x14ac:dyDescent="0.2">
      <c r="F42" s="402">
        <v>75</v>
      </c>
      <c r="G42" s="402">
        <v>100</v>
      </c>
      <c r="H42" s="402">
        <f t="shared" si="21"/>
        <v>7500</v>
      </c>
    </row>
    <row r="43" spans="6:21" x14ac:dyDescent="0.2">
      <c r="F43" s="402">
        <v>75</v>
      </c>
      <c r="G43" s="402">
        <v>8</v>
      </c>
      <c r="H43" s="402">
        <f t="shared" si="21"/>
        <v>600</v>
      </c>
    </row>
    <row r="44" spans="6:21" x14ac:dyDescent="0.2">
      <c r="F44" s="402">
        <v>95</v>
      </c>
      <c r="G44" s="402">
        <v>12</v>
      </c>
      <c r="H44" s="402">
        <f t="shared" si="21"/>
        <v>1140</v>
      </c>
    </row>
    <row r="45" spans="6:21" x14ac:dyDescent="0.2">
      <c r="F45" s="402">
        <v>250</v>
      </c>
      <c r="H45" s="402">
        <f t="shared" si="21"/>
        <v>0</v>
      </c>
    </row>
    <row r="46" spans="6:21" x14ac:dyDescent="0.2">
      <c r="F46" s="402">
        <v>90</v>
      </c>
      <c r="G46" s="402">
        <v>10</v>
      </c>
      <c r="H46" s="402">
        <f t="shared" si="21"/>
        <v>900</v>
      </c>
    </row>
    <row r="47" spans="6:21" x14ac:dyDescent="0.2">
      <c r="F47" s="402">
        <v>90</v>
      </c>
      <c r="G47" s="402">
        <v>10</v>
      </c>
      <c r="H47" s="402">
        <f t="shared" si="21"/>
        <v>900</v>
      </c>
    </row>
    <row r="48" spans="6:21" x14ac:dyDescent="0.2">
      <c r="F48" s="402">
        <v>150</v>
      </c>
      <c r="G48" s="402">
        <v>6</v>
      </c>
      <c r="H48" s="402">
        <f t="shared" si="21"/>
        <v>900</v>
      </c>
    </row>
    <row r="49" spans="6:8" x14ac:dyDescent="0.2">
      <c r="F49" s="402">
        <v>120</v>
      </c>
      <c r="G49" s="402">
        <v>8</v>
      </c>
      <c r="H49" s="402">
        <f t="shared" si="21"/>
        <v>960</v>
      </c>
    </row>
    <row r="50" spans="6:8" x14ac:dyDescent="0.2">
      <c r="F50" s="402">
        <v>200</v>
      </c>
      <c r="G50" s="402">
        <v>3</v>
      </c>
      <c r="H50" s="402">
        <f t="shared" si="21"/>
        <v>600</v>
      </c>
    </row>
    <row r="51" spans="6:8" x14ac:dyDescent="0.2">
      <c r="H51" s="427">
        <f>SUM(H36:H50)</f>
        <v>25160</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Summary</vt:lpstr>
      <vt:lpstr>Schedule</vt:lpstr>
      <vt:lpstr>Prelims</vt:lpstr>
      <vt:lpstr>SoRs</vt:lpstr>
      <vt:lpstr>Measure</vt:lpstr>
      <vt:lpstr>Prelims!Print_Area</vt:lpstr>
      <vt:lpstr>Schedule!Print_Area</vt:lpstr>
      <vt:lpstr>SoRs!Print_Area</vt:lpstr>
      <vt:lpstr>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dc:creator>
  <cp:lastModifiedBy>x</cp:lastModifiedBy>
  <cp:lastPrinted>2019-05-27T13:42:23Z</cp:lastPrinted>
  <dcterms:created xsi:type="dcterms:W3CDTF">2019-05-16T15:59:00Z</dcterms:created>
  <dcterms:modified xsi:type="dcterms:W3CDTF">2019-06-05T13:33:01Z</dcterms:modified>
</cp:coreProperties>
</file>