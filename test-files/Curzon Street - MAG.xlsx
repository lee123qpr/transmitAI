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\iCloudDrive\Sergio\Curzon Street\"/>
    </mc:Choice>
  </mc:AlternateContent>
  <xr:revisionPtr revIDLastSave="0" documentId="13_ncr:1_{794789E7-9E01-41D3-9AB1-D90A11D5E822}" xr6:coauthVersionLast="43" xr6:coauthVersionMax="43" xr10:uidLastSave="{00000000-0000-0000-0000-000000000000}"/>
  <bookViews>
    <workbookView xWindow="-120" yWindow="-120" windowWidth="20730" windowHeight="11160" tabRatio="756" xr2:uid="{00000000-000D-0000-FFFF-FFFF00000000}"/>
  </bookViews>
  <sheets>
    <sheet name="Quotation" sheetId="56" r:id="rId1"/>
    <sheet name="SoRs" sheetId="55" r:id="rId2"/>
    <sheet name="Dims" sheetId="57" r:id="rId3"/>
  </sheets>
  <definedNames>
    <definedName name="_xlnm.Print_Area" localSheetId="0">Quotation!$A$1:$G$74</definedName>
    <definedName name="_xlnm.Print_Area" localSheetId="1">SoRs!$A$1:$G$44</definedName>
  </definedNames>
  <calcPr calcId="181029"/>
</workbook>
</file>

<file path=xl/calcChain.xml><?xml version="1.0" encoding="utf-8"?>
<calcChain xmlns="http://schemas.openxmlformats.org/spreadsheetml/2006/main">
  <c r="G13" i="56" l="1"/>
  <c r="G31" i="56"/>
  <c r="G32" i="56"/>
  <c r="G33" i="56"/>
  <c r="G34" i="56"/>
  <c r="G29" i="56"/>
  <c r="G30" i="56"/>
  <c r="G27" i="56"/>
  <c r="G28" i="56"/>
  <c r="G26" i="56"/>
  <c r="G16" i="56"/>
  <c r="G17" i="56"/>
  <c r="G14" i="56"/>
  <c r="G15" i="56"/>
  <c r="G11" i="56"/>
  <c r="R48" i="56" l="1"/>
  <c r="S48" i="56" s="1"/>
  <c r="R46" i="56"/>
  <c r="S46" i="56" s="1"/>
  <c r="R44" i="56"/>
  <c r="S44" i="56" s="1"/>
  <c r="R42" i="56"/>
  <c r="S42" i="56" s="1"/>
  <c r="R40" i="56"/>
  <c r="S40" i="56" s="1"/>
  <c r="P38" i="56"/>
  <c r="R38" i="56" s="1"/>
  <c r="S38" i="56" s="1"/>
  <c r="R8" i="57"/>
  <c r="R5" i="57"/>
  <c r="L14" i="57"/>
  <c r="P10" i="57"/>
  <c r="R10" i="57" s="1"/>
  <c r="L22" i="57"/>
  <c r="P11" i="57" s="1"/>
  <c r="R11" i="57" s="1"/>
  <c r="P9" i="57"/>
  <c r="R9" i="57" s="1"/>
  <c r="P8" i="57"/>
  <c r="P7" i="57"/>
  <c r="R7" i="57" s="1"/>
  <c r="P6" i="57"/>
  <c r="R6" i="57" s="1"/>
  <c r="X18" i="56"/>
  <c r="R12" i="57" l="1"/>
  <c r="N50" i="56" s="1"/>
  <c r="I6" i="56"/>
  <c r="I22" i="56" l="1"/>
  <c r="I11" i="56"/>
  <c r="P50" i="56"/>
  <c r="R50" i="56" s="1"/>
  <c r="S50" i="56" s="1"/>
  <c r="S54" i="56" s="1"/>
  <c r="X36" i="56" s="1"/>
  <c r="I13" i="56"/>
  <c r="I33" i="57"/>
  <c r="J24" i="57"/>
  <c r="M22" i="57"/>
  <c r="J16" i="57"/>
  <c r="J30" i="57" s="1"/>
  <c r="D19" i="56" s="1"/>
  <c r="M14" i="57"/>
  <c r="J10" i="57"/>
  <c r="K10" i="57"/>
  <c r="K6" i="57"/>
  <c r="K5" i="57"/>
  <c r="J8" i="57"/>
  <c r="K8" i="57" s="1"/>
  <c r="J26" i="57"/>
  <c r="J18" i="57"/>
  <c r="J7" i="57"/>
  <c r="J9" i="57" s="1"/>
  <c r="K9" i="57" s="1"/>
  <c r="J6" i="57"/>
  <c r="C31" i="57"/>
  <c r="C33" i="57" s="1"/>
  <c r="C30" i="57"/>
  <c r="C34" i="57" s="1"/>
  <c r="C22" i="57"/>
  <c r="C26" i="57" s="1"/>
  <c r="C14" i="57"/>
  <c r="C18" i="57" s="1"/>
  <c r="C6" i="57"/>
  <c r="C10" i="57" s="1"/>
  <c r="J32" i="57" s="1"/>
  <c r="N12" i="56" s="1"/>
  <c r="Q12" i="56" s="1"/>
  <c r="S12" i="56" s="1"/>
  <c r="C23" i="57"/>
  <c r="C25" i="57" s="1"/>
  <c r="C15" i="57"/>
  <c r="C17" i="57" s="1"/>
  <c r="C7" i="57"/>
  <c r="C9" i="57"/>
  <c r="N24" i="56" l="1"/>
  <c r="G19" i="56"/>
  <c r="K7" i="57"/>
  <c r="J23" i="57"/>
  <c r="J25" i="57" s="1"/>
  <c r="J31" i="57" s="1"/>
  <c r="N20" i="56" s="1"/>
  <c r="N17" i="56" s="1"/>
  <c r="P17" i="56" s="1"/>
  <c r="S17" i="56" s="1"/>
  <c r="J15" i="57"/>
  <c r="J17" i="57" s="1"/>
  <c r="J29" i="57" l="1"/>
  <c r="P23" i="56"/>
  <c r="S23" i="56" s="1"/>
  <c r="P24" i="56"/>
  <c r="S24" i="56" s="1"/>
  <c r="J54" i="56"/>
  <c r="J64" i="56" s="1"/>
  <c r="F37" i="56" s="1"/>
  <c r="G37" i="56" s="1"/>
  <c r="P20" i="56"/>
  <c r="S20" i="56" s="1"/>
  <c r="G18" i="56"/>
  <c r="P18" i="56"/>
  <c r="S18" i="56" s="1"/>
  <c r="Q11" i="56"/>
  <c r="S11" i="56" s="1"/>
  <c r="Q10" i="56"/>
  <c r="S10" i="56" s="1"/>
  <c r="Q8" i="56"/>
  <c r="G35" i="55"/>
  <c r="G32" i="55"/>
  <c r="G29" i="55"/>
  <c r="G28" i="55"/>
  <c r="G24" i="55"/>
  <c r="G22" i="55"/>
  <c r="G21" i="55"/>
  <c r="G17" i="55"/>
  <c r="G13" i="55"/>
  <c r="G12" i="55"/>
  <c r="G11" i="55"/>
  <c r="G9" i="55"/>
  <c r="G8" i="55"/>
  <c r="U6" i="55"/>
  <c r="G2" i="55"/>
  <c r="G67" i="56"/>
  <c r="G64" i="56"/>
  <c r="G52" i="56"/>
  <c r="G51" i="56"/>
  <c r="G45" i="56"/>
  <c r="G44" i="56"/>
  <c r="G39" i="56"/>
  <c r="G38" i="56"/>
  <c r="G36" i="56"/>
  <c r="G12" i="56"/>
  <c r="G2" i="56"/>
  <c r="S21" i="56" l="1"/>
  <c r="X17" i="56" s="1"/>
  <c r="G27" i="55"/>
  <c r="G36" i="55" s="1"/>
  <c r="G41" i="55" s="1"/>
  <c r="S32" i="56"/>
  <c r="X23" i="56" s="1"/>
  <c r="S8" i="56"/>
  <c r="S13" i="56" s="1"/>
  <c r="X6" i="56" s="1"/>
  <c r="G43" i="56" l="1"/>
  <c r="G68" i="56" s="1"/>
  <c r="G72" i="56" s="1"/>
</calcChain>
</file>

<file path=xl/sharedStrings.xml><?xml version="1.0" encoding="utf-8"?>
<sst xmlns="http://schemas.openxmlformats.org/spreadsheetml/2006/main" count="248" uniqueCount="145">
  <si>
    <t>BoQ</t>
  </si>
  <si>
    <t>Description</t>
  </si>
  <si>
    <t>Quant</t>
  </si>
  <si>
    <t>unit</t>
  </si>
  <si>
    <t>Rate</t>
  </si>
  <si>
    <t>A</t>
  </si>
  <si>
    <t>B</t>
  </si>
  <si>
    <t>C</t>
  </si>
  <si>
    <t>D</t>
  </si>
  <si>
    <t>E</t>
  </si>
  <si>
    <t>Sub Total measured works</t>
  </si>
  <si>
    <t>Total Value    £</t>
  </si>
  <si>
    <t>Supplier</t>
  </si>
  <si>
    <t>Clarifications</t>
  </si>
  <si>
    <t>Add/omit</t>
  </si>
  <si>
    <t>Programme Implications</t>
  </si>
  <si>
    <t>Project description</t>
  </si>
  <si>
    <t>Revision</t>
  </si>
  <si>
    <t xml:space="preserve">Date </t>
  </si>
  <si>
    <t>m2</t>
  </si>
  <si>
    <t>Supervisor - £350</t>
  </si>
  <si>
    <t>Tiler - £250</t>
  </si>
  <si>
    <t>Labour - £130</t>
  </si>
  <si>
    <t>day</t>
  </si>
  <si>
    <t>LABOUR</t>
  </si>
  <si>
    <t>MATERIALS</t>
  </si>
  <si>
    <t>PRELIMS</t>
  </si>
  <si>
    <t>Buckets</t>
  </si>
  <si>
    <t>Trowels</t>
  </si>
  <si>
    <t>Drills</t>
  </si>
  <si>
    <t>Tool chest</t>
  </si>
  <si>
    <t>Van</t>
  </si>
  <si>
    <t>Fuel</t>
  </si>
  <si>
    <t>Parking</t>
  </si>
  <si>
    <t>Barriers</t>
  </si>
  <si>
    <t>All offloading, horizontal/vertical movement of materials to workface excluded. We have not allowed for a forklift or driver.</t>
  </si>
  <si>
    <t>inc 15%</t>
  </si>
  <si>
    <t>QS</t>
  </si>
  <si>
    <t>Supervisor</t>
  </si>
  <si>
    <t>H&amp;S</t>
  </si>
  <si>
    <t>DAYS</t>
  </si>
  <si>
    <t>PPE</t>
  </si>
  <si>
    <t>TOTAL DAYS</t>
  </si>
  <si>
    <t>Facemasks</t>
  </si>
  <si>
    <t>Schedule of Daywork Rates</t>
  </si>
  <si>
    <t>Daywork Rates</t>
  </si>
  <si>
    <t>Labourer - £130</t>
  </si>
  <si>
    <t>Carpenter - £270</t>
  </si>
  <si>
    <t xml:space="preserve">Plant  + 15% </t>
  </si>
  <si>
    <t>Subcontractors cost + 15%</t>
  </si>
  <si>
    <t xml:space="preserve">Materials cost + 15% </t>
  </si>
  <si>
    <t>Quantity Surveyor - £320</t>
  </si>
  <si>
    <t xml:space="preserve">Saturday 8am to 5pm 150% </t>
  </si>
  <si>
    <t xml:space="preserve">Sunday 8am to 4pm 200% </t>
  </si>
  <si>
    <t>Note: Labour rates exclude Supervision</t>
  </si>
  <si>
    <t>Non Productive working:</t>
  </si>
  <si>
    <t>Total excludes VAT</t>
  </si>
  <si>
    <t>We require a water point within 15m of our workface, provided by others.</t>
  </si>
  <si>
    <t>We require an area close to the works to store materials/tools.</t>
  </si>
  <si>
    <t>We require 110v power connection close to the works, provided by others.</t>
  </si>
  <si>
    <t>We have not allowed to remove waste from our workface or site for these works. Skips to be provided by others in location of workface.</t>
  </si>
  <si>
    <t>F</t>
  </si>
  <si>
    <t>Brickworker - £260</t>
  </si>
  <si>
    <t>MASONRY</t>
  </si>
  <si>
    <t>Brickie - £260</t>
  </si>
  <si>
    <t>1 no Gangs of 2 brickie &amp; 1 labour</t>
  </si>
  <si>
    <t>PLANT</t>
  </si>
  <si>
    <t>WASTAGE</t>
  </si>
  <si>
    <t>TOTAL INC PROFIT</t>
  </si>
  <si>
    <t>Brick saw</t>
  </si>
  <si>
    <t>Mixer</t>
  </si>
  <si>
    <t>Task lights</t>
  </si>
  <si>
    <t>We require Careys to set out walls from gridlines. We have not allowed for an engineer.</t>
  </si>
  <si>
    <t>protection</t>
  </si>
  <si>
    <t>We require clear unhindered access to complete these works. We have allowed for 1 continuous visit only.</t>
  </si>
  <si>
    <t>25kg bags</t>
  </si>
  <si>
    <t>no</t>
  </si>
  <si>
    <t>50 per pack</t>
  </si>
  <si>
    <t>m</t>
  </si>
  <si>
    <t>0.5 days</t>
  </si>
  <si>
    <t>1 day</t>
  </si>
  <si>
    <t>3 MEN</t>
  </si>
  <si>
    <t>1 GANG TO BE USED</t>
  </si>
  <si>
    <t>Cleaning product</t>
  </si>
  <si>
    <t>exc</t>
  </si>
  <si>
    <t>1  Gang Say 25m2 day</t>
  </si>
  <si>
    <t>measure</t>
  </si>
  <si>
    <t>length</t>
  </si>
  <si>
    <t>section 1</t>
  </si>
  <si>
    <t>height</t>
  </si>
  <si>
    <t>left</t>
  </si>
  <si>
    <t>right</t>
  </si>
  <si>
    <t>sidecuts</t>
  </si>
  <si>
    <t>head</t>
  </si>
  <si>
    <t>ave m</t>
  </si>
  <si>
    <t>ties @ 450mm</t>
  </si>
  <si>
    <t>section 2</t>
  </si>
  <si>
    <t>m2 block 215mm</t>
  </si>
  <si>
    <t>section 3</t>
  </si>
  <si>
    <t>section 4</t>
  </si>
  <si>
    <t>lintol</t>
  </si>
  <si>
    <t>Section 1 Wall</t>
  </si>
  <si>
    <t>Section 2 Wall</t>
  </si>
  <si>
    <t>3 parts</t>
  </si>
  <si>
    <t>the same</t>
  </si>
  <si>
    <t>Total</t>
  </si>
  <si>
    <t>2 parts</t>
  </si>
  <si>
    <t>4 parts</t>
  </si>
  <si>
    <t>lm</t>
  </si>
  <si>
    <t>1 gang 1 day</t>
  </si>
  <si>
    <t>We have not allowed any delay costs within our price for weather which will inhibit the progress of our works</t>
  </si>
  <si>
    <t>Genie for WPs</t>
  </si>
  <si>
    <t>weeks</t>
  </si>
  <si>
    <t>WINDPOSTS</t>
  </si>
  <si>
    <t>M</t>
  </si>
  <si>
    <t>NO</t>
  </si>
  <si>
    <t xml:space="preserve">We have not allowed any works to the planters </t>
  </si>
  <si>
    <t>Gang 4 per d</t>
  </si>
  <si>
    <t>5 days</t>
  </si>
  <si>
    <t xml:space="preserve">Tools </t>
  </si>
  <si>
    <t>Curzon Street</t>
  </si>
  <si>
    <t>Extra, forming vertical movement joints</t>
  </si>
  <si>
    <t>Extra, copings to top of walls</t>
  </si>
  <si>
    <t>Extra, install shelf angles</t>
  </si>
  <si>
    <t>Excluded</t>
  </si>
  <si>
    <t>Install only of stainless steel posts</t>
  </si>
  <si>
    <t>Fix stone metal plates to posts</t>
  </si>
  <si>
    <t>Extra, Paint black</t>
  </si>
  <si>
    <t>Extra, install netting mesh</t>
  </si>
  <si>
    <t>item</t>
  </si>
  <si>
    <t>F10: BRICK/BLOCK WALLING  - all materials provided by others</t>
  </si>
  <si>
    <t>All materials to be provided free of charge. We have only allowed for labour only</t>
  </si>
  <si>
    <t>brickwork wall, single brick thick, labour only install</t>
  </si>
  <si>
    <t>We have not allowed to take any design responsibility</t>
  </si>
  <si>
    <t>Safety and task lighting to be provided by others.</t>
  </si>
  <si>
    <t>This price is based on drawings provided only - no specification for our works has been provided. No blockwork has been allowed</t>
  </si>
  <si>
    <t>We have not allowed to install any sheeting such as dpc or roof waterproofing membranes</t>
  </si>
  <si>
    <t>We have made no allowance for lighting works.</t>
  </si>
  <si>
    <t>We have not allowed any fire stopping works or insulation</t>
  </si>
  <si>
    <t>Please note this is a lump sum offer and is not subject to remeasure</t>
  </si>
  <si>
    <t>Extra, forming cavity trays excluding weep holes</t>
  </si>
  <si>
    <t>Windposts</t>
  </si>
  <si>
    <t>Prelims including supervision, QS, H&amp;S, tools, storage, PPE</t>
  </si>
  <si>
    <t>STONE CLADDING LOUVRE - all materials provided by others</t>
  </si>
  <si>
    <t>We require Careys to provide scaffold access for us to install the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</si>
</sst>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#;[Red]\(#,###\)"/>
    <numFmt numFmtId="165" formatCode="_-* #,##0_-;\-* #,##0_-;_-* &quot;-&quot;??_-;_-@_-"/>
    <numFmt numFmtId="166" formatCode="&quot;£&quot;#,##0.00"/>
    <numFmt numFmtId="167" formatCode="0.0"/>
  </numFmts>
  <fonts count="3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0"/>
      <name val="Arial"/>
      <family val="2"/>
    </font>
    <font>
      <sz val="10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9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2" applyNumberFormat="0" applyFill="0" applyAlignment="0" applyProtection="0"/>
    <xf numFmtId="0" fontId="8" fillId="0" borderId="23" applyNumberFormat="0" applyFill="0" applyAlignment="0" applyProtection="0"/>
    <xf numFmtId="0" fontId="9" fillId="0" borderId="2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25" applyNumberFormat="0" applyAlignment="0" applyProtection="0"/>
    <xf numFmtId="0" fontId="14" fillId="9" borderId="26" applyNumberFormat="0" applyAlignment="0" applyProtection="0"/>
    <xf numFmtId="0" fontId="15" fillId="9" borderId="25" applyNumberFormat="0" applyAlignment="0" applyProtection="0"/>
    <xf numFmtId="0" fontId="16" fillId="0" borderId="27" applyNumberFormat="0" applyFill="0" applyAlignment="0" applyProtection="0"/>
    <xf numFmtId="0" fontId="17" fillId="10" borderId="2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30" applyNumberFormat="0" applyFill="0" applyAlignment="0" applyProtection="0"/>
    <xf numFmtId="0" fontId="21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1" fillId="35" borderId="0" applyNumberFormat="0" applyBorder="0" applyAlignment="0" applyProtection="0"/>
    <xf numFmtId="0" fontId="4" fillId="0" borderId="0"/>
    <xf numFmtId="0" fontId="4" fillId="11" borderId="29" applyNumberFormat="0" applyFont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1" borderId="29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162">
    <xf numFmtId="0" fontId="0" fillId="0" borderId="0" xfId="0"/>
    <xf numFmtId="0" fontId="22" fillId="0" borderId="0" xfId="49" applyFont="1" applyBorder="1"/>
    <xf numFmtId="0" fontId="22" fillId="0" borderId="11" xfId="49" applyFont="1" applyBorder="1" applyAlignment="1">
      <alignment horizontal="center"/>
    </xf>
    <xf numFmtId="0" fontId="23" fillId="0" borderId="9" xfId="0" applyFont="1" applyBorder="1" applyAlignment="1">
      <alignment horizontal="center" vertical="top" wrapText="1"/>
    </xf>
    <xf numFmtId="0" fontId="23" fillId="0" borderId="0" xfId="0" applyFont="1"/>
    <xf numFmtId="0" fontId="23" fillId="0" borderId="10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/>
    </xf>
    <xf numFmtId="0" fontId="24" fillId="0" borderId="9" xfId="0" applyFont="1" applyBorder="1" applyAlignment="1">
      <alignment horizontal="center" vertical="top"/>
    </xf>
    <xf numFmtId="0" fontId="24" fillId="0" borderId="9" xfId="0" applyFont="1" applyBorder="1" applyAlignment="1">
      <alignment horizontal="center" vertical="top" wrapText="1"/>
    </xf>
    <xf numFmtId="38" fontId="24" fillId="0" borderId="9" xfId="0" applyNumberFormat="1" applyFont="1" applyBorder="1" applyAlignment="1">
      <alignment horizontal="center" vertical="top"/>
    </xf>
    <xf numFmtId="44" fontId="24" fillId="0" borderId="9" xfId="1" applyNumberFormat="1" applyFont="1" applyBorder="1" applyAlignment="1">
      <alignment horizontal="center" vertical="top"/>
    </xf>
    <xf numFmtId="164" fontId="24" fillId="0" borderId="2" xfId="0" applyNumberFormat="1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/>
    </xf>
    <xf numFmtId="0" fontId="23" fillId="0" borderId="10" xfId="0" applyFont="1" applyBorder="1" applyAlignment="1">
      <alignment horizontal="center" vertical="top"/>
    </xf>
    <xf numFmtId="38" fontId="23" fillId="0" borderId="10" xfId="0" applyNumberFormat="1" applyFont="1" applyBorder="1" applyAlignment="1">
      <alignment horizontal="center" vertical="top"/>
    </xf>
    <xf numFmtId="44" fontId="23" fillId="0" borderId="10" xfId="1" applyNumberFormat="1" applyFont="1" applyBorder="1" applyAlignment="1">
      <alignment horizontal="center" vertical="top"/>
    </xf>
    <xf numFmtId="164" fontId="23" fillId="0" borderId="8" xfId="0" applyNumberFormat="1" applyFont="1" applyBorder="1" applyAlignment="1">
      <alignment horizontal="center" vertical="top"/>
    </xf>
    <xf numFmtId="0" fontId="23" fillId="0" borderId="3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top"/>
    </xf>
    <xf numFmtId="0" fontId="23" fillId="0" borderId="11" xfId="0" applyFont="1" applyBorder="1" applyAlignment="1">
      <alignment horizontal="center"/>
    </xf>
    <xf numFmtId="164" fontId="23" fillId="3" borderId="12" xfId="0" applyNumberFormat="1" applyFont="1" applyFill="1" applyBorder="1" applyAlignment="1">
      <alignment horizontal="center" vertical="center"/>
    </xf>
    <xf numFmtId="0" fontId="23" fillId="0" borderId="32" xfId="0" applyFont="1" applyBorder="1" applyAlignment="1">
      <alignment horizontal="center"/>
    </xf>
    <xf numFmtId="0" fontId="23" fillId="0" borderId="32" xfId="0" applyFont="1" applyBorder="1" applyAlignment="1">
      <alignment horizontal="center" vertical="top"/>
    </xf>
    <xf numFmtId="0" fontId="23" fillId="0" borderId="11" xfId="0" applyFont="1" applyBorder="1" applyAlignment="1">
      <alignment horizontal="center" vertical="top"/>
    </xf>
    <xf numFmtId="0" fontId="23" fillId="0" borderId="0" xfId="0" applyFont="1" applyBorder="1"/>
    <xf numFmtId="38" fontId="23" fillId="0" borderId="11" xfId="0" applyNumberFormat="1" applyFont="1" applyBorder="1" applyAlignment="1">
      <alignment horizontal="center" vertical="top"/>
    </xf>
    <xf numFmtId="0" fontId="23" fillId="0" borderId="0" xfId="0" applyFont="1" applyBorder="1" applyAlignment="1">
      <alignment horizontal="left" vertical="top" wrapText="1"/>
    </xf>
    <xf numFmtId="38" fontId="23" fillId="0" borderId="11" xfId="0" applyNumberFormat="1" applyFont="1" applyBorder="1" applyAlignment="1">
      <alignment horizontal="right" vertical="top"/>
    </xf>
    <xf numFmtId="0" fontId="23" fillId="0" borderId="11" xfId="0" applyFont="1" applyBorder="1" applyAlignment="1">
      <alignment horizontal="left" vertical="top"/>
    </xf>
    <xf numFmtId="164" fontId="23" fillId="3" borderId="12" xfId="0" applyNumberFormat="1" applyFont="1" applyFill="1" applyBorder="1" applyAlignment="1">
      <alignment horizontal="center" vertical="top"/>
    </xf>
    <xf numFmtId="0" fontId="23" fillId="0" borderId="0" xfId="0" applyFont="1" applyAlignment="1">
      <alignment horizontal="center"/>
    </xf>
    <xf numFmtId="44" fontId="23" fillId="0" borderId="0" xfId="0" applyNumberFormat="1" applyFont="1"/>
    <xf numFmtId="0" fontId="23" fillId="36" borderId="11" xfId="0" applyFont="1" applyFill="1" applyBorder="1" applyAlignment="1">
      <alignment horizontal="center"/>
    </xf>
    <xf numFmtId="164" fontId="23" fillId="0" borderId="0" xfId="0" applyNumberFormat="1" applyFont="1"/>
    <xf numFmtId="0" fontId="23" fillId="0" borderId="3" xfId="0" applyFont="1" applyBorder="1" applyAlignment="1">
      <alignment vertical="top"/>
    </xf>
    <xf numFmtId="0" fontId="23" fillId="0" borderId="4" xfId="0" applyFont="1" applyBorder="1" applyAlignment="1">
      <alignment vertical="top"/>
    </xf>
    <xf numFmtId="44" fontId="23" fillId="0" borderId="5" xfId="0" applyNumberFormat="1" applyFont="1" applyBorder="1" applyAlignment="1">
      <alignment vertical="top"/>
    </xf>
    <xf numFmtId="0" fontId="24" fillId="2" borderId="6" xfId="0" applyFont="1" applyFill="1" applyBorder="1" applyAlignment="1">
      <alignment horizontal="center" vertical="top"/>
    </xf>
    <xf numFmtId="0" fontId="23" fillId="0" borderId="0" xfId="0" applyFont="1" applyAlignment="1">
      <alignment vertical="top"/>
    </xf>
    <xf numFmtId="15" fontId="23" fillId="0" borderId="5" xfId="0" applyNumberFormat="1" applyFont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44" fontId="23" fillId="0" borderId="0" xfId="0" applyNumberFormat="1" applyFont="1" applyAlignment="1">
      <alignment vertical="top"/>
    </xf>
    <xf numFmtId="0" fontId="23" fillId="0" borderId="13" xfId="0" applyFont="1" applyBorder="1" applyAlignment="1">
      <alignment horizontal="center" vertical="top"/>
    </xf>
    <xf numFmtId="0" fontId="23" fillId="0" borderId="31" xfId="0" applyFont="1" applyBorder="1" applyAlignment="1">
      <alignment horizontal="left" vertical="top" wrapText="1"/>
    </xf>
    <xf numFmtId="38" fontId="23" fillId="0" borderId="36" xfId="0" applyNumberFormat="1" applyFont="1" applyBorder="1" applyAlignment="1">
      <alignment horizontal="right" vertical="top"/>
    </xf>
    <xf numFmtId="0" fontId="23" fillId="0" borderId="36" xfId="0" applyFont="1" applyBorder="1" applyAlignment="1">
      <alignment horizontal="left" vertical="top"/>
    </xf>
    <xf numFmtId="164" fontId="23" fillId="0" borderId="3" xfId="0" applyNumberFormat="1" applyFont="1" applyFill="1" applyBorder="1" applyAlignment="1">
      <alignment horizontal="center" vertical="top"/>
    </xf>
    <xf numFmtId="0" fontId="23" fillId="0" borderId="14" xfId="0" applyFont="1" applyFill="1" applyBorder="1" applyAlignment="1">
      <alignment vertical="top"/>
    </xf>
    <xf numFmtId="38" fontId="23" fillId="0" borderId="0" xfId="0" applyNumberFormat="1" applyFont="1" applyFill="1" applyBorder="1" applyAlignment="1">
      <alignment horizontal="right" vertical="top"/>
    </xf>
    <xf numFmtId="0" fontId="23" fillId="0" borderId="0" xfId="0" applyFont="1" applyFill="1" applyBorder="1" applyAlignment="1">
      <alignment horizontal="left" vertical="top"/>
    </xf>
    <xf numFmtId="44" fontId="23" fillId="0" borderId="0" xfId="1" applyNumberFormat="1" applyFont="1" applyFill="1" applyBorder="1" applyAlignment="1">
      <alignment horizontal="left" vertical="top"/>
    </xf>
    <xf numFmtId="0" fontId="23" fillId="3" borderId="32" xfId="0" applyFont="1" applyFill="1" applyBorder="1" applyAlignment="1">
      <alignment horizontal="center" vertical="top"/>
    </xf>
    <xf numFmtId="0" fontId="23" fillId="3" borderId="39" xfId="0" applyFont="1" applyFill="1" applyBorder="1" applyAlignment="1">
      <alignment horizontal="center" vertical="top"/>
    </xf>
    <xf numFmtId="0" fontId="23" fillId="3" borderId="0" xfId="0" applyFont="1" applyFill="1" applyBorder="1" applyAlignment="1">
      <alignment vertical="top"/>
    </xf>
    <xf numFmtId="10" fontId="27" fillId="3" borderId="39" xfId="2" applyNumberFormat="1" applyFont="1" applyFill="1" applyBorder="1" applyAlignment="1">
      <alignment horizontal="right" vertical="top"/>
    </xf>
    <xf numFmtId="0" fontId="23" fillId="3" borderId="0" xfId="0" applyFont="1" applyFill="1" applyBorder="1" applyAlignment="1">
      <alignment horizontal="left" vertical="top"/>
    </xf>
    <xf numFmtId="44" fontId="23" fillId="3" borderId="39" xfId="1" applyNumberFormat="1" applyFont="1" applyFill="1" applyBorder="1" applyAlignment="1">
      <alignment horizontal="left" vertical="top"/>
    </xf>
    <xf numFmtId="164" fontId="23" fillId="3" borderId="3" xfId="0" applyNumberFormat="1" applyFont="1" applyFill="1" applyBorder="1" applyAlignment="1">
      <alignment horizontal="center" vertical="top"/>
    </xf>
    <xf numFmtId="0" fontId="23" fillId="36" borderId="0" xfId="0" applyFont="1" applyFill="1" applyBorder="1" applyAlignment="1">
      <alignment vertical="top"/>
    </xf>
    <xf numFmtId="38" fontId="23" fillId="36" borderId="11" xfId="0" applyNumberFormat="1" applyFont="1" applyFill="1" applyBorder="1" applyAlignment="1">
      <alignment horizontal="right" vertical="top"/>
    </xf>
    <xf numFmtId="0" fontId="23" fillId="36" borderId="0" xfId="0" applyFont="1" applyFill="1" applyBorder="1" applyAlignment="1">
      <alignment horizontal="left" vertical="top"/>
    </xf>
    <xf numFmtId="44" fontId="23" fillId="36" borderId="11" xfId="1" applyNumberFormat="1" applyFont="1" applyFill="1" applyBorder="1" applyAlignment="1">
      <alignment horizontal="left" vertical="top"/>
    </xf>
    <xf numFmtId="164" fontId="23" fillId="36" borderId="0" xfId="0" applyNumberFormat="1" applyFont="1" applyFill="1" applyBorder="1" applyAlignment="1">
      <alignment horizontal="center" vertical="top"/>
    </xf>
    <xf numFmtId="0" fontId="23" fillId="3" borderId="11" xfId="0" applyFont="1" applyFill="1" applyBorder="1" applyAlignment="1">
      <alignment horizontal="center" vertical="top"/>
    </xf>
    <xf numFmtId="10" fontId="23" fillId="3" borderId="11" xfId="2" applyNumberFormat="1" applyFont="1" applyFill="1" applyBorder="1" applyAlignment="1">
      <alignment horizontal="right" vertical="top"/>
    </xf>
    <xf numFmtId="44" fontId="23" fillId="3" borderId="11" xfId="1" applyNumberFormat="1" applyFont="1" applyFill="1" applyBorder="1" applyAlignment="1">
      <alignment horizontal="left" vertical="top"/>
    </xf>
    <xf numFmtId="0" fontId="23" fillId="3" borderId="7" xfId="0" applyFont="1" applyFill="1" applyBorder="1" applyAlignment="1">
      <alignment horizontal="center" vertical="top"/>
    </xf>
    <xf numFmtId="0" fontId="23" fillId="3" borderId="34" xfId="0" applyFont="1" applyFill="1" applyBorder="1" applyAlignment="1">
      <alignment horizontal="center" vertical="top"/>
    </xf>
    <xf numFmtId="0" fontId="23" fillId="3" borderId="10" xfId="0" applyFont="1" applyFill="1" applyBorder="1" applyAlignment="1">
      <alignment vertical="top"/>
    </xf>
    <xf numFmtId="10" fontId="23" fillId="3" borderId="34" xfId="0" applyNumberFormat="1" applyFont="1" applyFill="1" applyBorder="1" applyAlignment="1">
      <alignment horizontal="right" vertical="top"/>
    </xf>
    <xf numFmtId="0" fontId="23" fillId="3" borderId="34" xfId="0" applyFont="1" applyFill="1" applyBorder="1" applyAlignment="1">
      <alignment horizontal="left" vertical="top"/>
    </xf>
    <xf numFmtId="44" fontId="23" fillId="3" borderId="34" xfId="1" applyNumberFormat="1" applyFont="1" applyFill="1" applyBorder="1" applyAlignment="1">
      <alignment horizontal="left" vertical="top"/>
    </xf>
    <xf numFmtId="164" fontId="23" fillId="3" borderId="35" xfId="0" applyNumberFormat="1" applyFont="1" applyFill="1" applyBorder="1" applyAlignment="1">
      <alignment horizontal="center" vertical="top"/>
    </xf>
    <xf numFmtId="0" fontId="24" fillId="0" borderId="2" xfId="0" applyFont="1" applyBorder="1" applyAlignment="1">
      <alignment horizontal="center" vertical="top" wrapText="1"/>
    </xf>
    <xf numFmtId="0" fontId="24" fillId="0" borderId="37" xfId="0" applyFont="1" applyBorder="1" applyAlignment="1">
      <alignment horizontal="center" vertical="top" wrapText="1"/>
    </xf>
    <xf numFmtId="164" fontId="24" fillId="4" borderId="6" xfId="0" applyNumberFormat="1" applyFont="1" applyFill="1" applyBorder="1" applyAlignment="1">
      <alignment horizontal="center" vertical="top"/>
    </xf>
    <xf numFmtId="0" fontId="24" fillId="0" borderId="3" xfId="0" applyFont="1" applyBorder="1" applyAlignment="1">
      <alignment horizontal="center" vertical="top" wrapText="1"/>
    </xf>
    <xf numFmtId="0" fontId="24" fillId="0" borderId="38" xfId="0" applyFont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44" fontId="24" fillId="0" borderId="19" xfId="0" applyNumberFormat="1" applyFont="1" applyBorder="1" applyAlignment="1">
      <alignment horizontal="center" vertical="top" wrapText="1"/>
    </xf>
    <xf numFmtId="164" fontId="24" fillId="0" borderId="0" xfId="0" applyNumberFormat="1" applyFont="1" applyFill="1" applyBorder="1" applyAlignment="1">
      <alignment horizontal="center" vertical="top"/>
    </xf>
    <xf numFmtId="0" fontId="24" fillId="0" borderId="0" xfId="0" applyFont="1" applyBorder="1" applyAlignment="1">
      <alignment horizontal="center" vertical="top"/>
    </xf>
    <xf numFmtId="0" fontId="24" fillId="0" borderId="0" xfId="0" applyFont="1" applyBorder="1" applyAlignment="1">
      <alignment horizontal="center" vertical="top" wrapText="1"/>
    </xf>
    <xf numFmtId="44" fontId="24" fillId="0" borderId="0" xfId="0" applyNumberFormat="1" applyFont="1" applyBorder="1" applyAlignment="1">
      <alignment horizontal="center" vertical="top" wrapText="1"/>
    </xf>
    <xf numFmtId="164" fontId="24" fillId="0" borderId="0" xfId="0" applyNumberFormat="1" applyFont="1" applyBorder="1" applyAlignment="1">
      <alignment horizontal="center" vertical="top"/>
    </xf>
    <xf numFmtId="0" fontId="23" fillId="0" borderId="40" xfId="0" applyFont="1" applyBorder="1" applyAlignment="1">
      <alignment horizontal="center" vertical="top"/>
    </xf>
    <xf numFmtId="0" fontId="23" fillId="0" borderId="36" xfId="0" applyFont="1" applyBorder="1" applyAlignment="1">
      <alignment horizontal="center" vertical="top"/>
    </xf>
    <xf numFmtId="44" fontId="23" fillId="0" borderId="36" xfId="1" applyNumberFormat="1" applyFont="1" applyBorder="1" applyAlignment="1">
      <alignment horizontal="left" vertical="top"/>
    </xf>
    <xf numFmtId="164" fontId="23" fillId="3" borderId="41" xfId="0" applyNumberFormat="1" applyFont="1" applyFill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3" fillId="0" borderId="42" xfId="0" applyFont="1" applyBorder="1" applyAlignment="1">
      <alignment horizontal="left" vertical="top" wrapText="1"/>
    </xf>
    <xf numFmtId="38" fontId="23" fillId="0" borderId="34" xfId="0" applyNumberFormat="1" applyFont="1" applyBorder="1" applyAlignment="1">
      <alignment horizontal="right" vertical="top"/>
    </xf>
    <xf numFmtId="0" fontId="23" fillId="0" borderId="34" xfId="0" applyFont="1" applyBorder="1" applyAlignment="1">
      <alignment horizontal="left" vertical="top"/>
    </xf>
    <xf numFmtId="44" fontId="23" fillId="0" borderId="34" xfId="3" applyNumberFormat="1" applyFont="1" applyBorder="1" applyAlignment="1">
      <alignment horizontal="left" vertical="top"/>
    </xf>
    <xf numFmtId="165" fontId="23" fillId="3" borderId="43" xfId="3" applyNumberFormat="1" applyFont="1" applyFill="1" applyBorder="1" applyAlignment="1">
      <alignment horizontal="center" vertical="top"/>
    </xf>
    <xf numFmtId="0" fontId="23" fillId="3" borderId="33" xfId="0" applyFont="1" applyFill="1" applyBorder="1" applyAlignment="1">
      <alignment horizontal="center" vertical="top"/>
    </xf>
    <xf numFmtId="0" fontId="23" fillId="3" borderId="17" xfId="0" applyFont="1" applyFill="1" applyBorder="1" applyAlignment="1">
      <alignment horizontal="center" vertical="top"/>
    </xf>
    <xf numFmtId="0" fontId="23" fillId="3" borderId="17" xfId="0" applyFont="1" applyFill="1" applyBorder="1" applyAlignment="1">
      <alignment vertical="top"/>
    </xf>
    <xf numFmtId="38" fontId="23" fillId="3" borderId="16" xfId="0" applyNumberFormat="1" applyFont="1" applyFill="1" applyBorder="1" applyAlignment="1">
      <alignment horizontal="right" vertical="top"/>
    </xf>
    <xf numFmtId="0" fontId="23" fillId="3" borderId="16" xfId="0" applyFont="1" applyFill="1" applyBorder="1" applyAlignment="1">
      <alignment horizontal="left" vertical="top"/>
    </xf>
    <xf numFmtId="44" fontId="23" fillId="3" borderId="16" xfId="1" applyNumberFormat="1" applyFont="1" applyFill="1" applyBorder="1" applyAlignment="1">
      <alignment horizontal="left" vertical="top"/>
    </xf>
    <xf numFmtId="164" fontId="23" fillId="3" borderId="44" xfId="0" applyNumberFormat="1" applyFont="1" applyFill="1" applyBorder="1" applyAlignment="1">
      <alignment horizontal="center" vertical="top"/>
    </xf>
    <xf numFmtId="0" fontId="25" fillId="0" borderId="40" xfId="0" applyFont="1" applyBorder="1" applyAlignment="1">
      <alignment horizontal="left" vertical="top"/>
    </xf>
    <xf numFmtId="0" fontId="25" fillId="0" borderId="9" xfId="0" applyFont="1" applyBorder="1" applyAlignment="1">
      <alignment horizontal="center" vertical="top"/>
    </xf>
    <xf numFmtId="0" fontId="23" fillId="0" borderId="45" xfId="0" applyFont="1" applyFill="1" applyBorder="1" applyAlignment="1">
      <alignment vertical="top"/>
    </xf>
    <xf numFmtId="38" fontId="23" fillId="0" borderId="9" xfId="0" applyNumberFormat="1" applyFont="1" applyFill="1" applyBorder="1" applyAlignment="1">
      <alignment horizontal="right" vertical="top"/>
    </xf>
    <xf numFmtId="0" fontId="23" fillId="0" borderId="9" xfId="0" applyFont="1" applyFill="1" applyBorder="1" applyAlignment="1">
      <alignment horizontal="left" vertical="top"/>
    </xf>
    <xf numFmtId="44" fontId="23" fillId="0" borderId="9" xfId="1" applyNumberFormat="1" applyFont="1" applyFill="1" applyBorder="1" applyAlignment="1">
      <alignment horizontal="left" vertical="top"/>
    </xf>
    <xf numFmtId="164" fontId="23" fillId="0" borderId="2" xfId="0" applyNumberFormat="1" applyFont="1" applyFill="1" applyBorder="1" applyAlignment="1">
      <alignment horizontal="center" vertical="top"/>
    </xf>
    <xf numFmtId="44" fontId="23" fillId="0" borderId="0" xfId="0" applyNumberFormat="1" applyFont="1" applyBorder="1"/>
    <xf numFmtId="0" fontId="23" fillId="0" borderId="3" xfId="0" applyFont="1" applyBorder="1"/>
    <xf numFmtId="0" fontId="23" fillId="0" borderId="46" xfId="0" applyFont="1" applyBorder="1" applyAlignment="1">
      <alignment horizontal="center" vertical="top"/>
    </xf>
    <xf numFmtId="0" fontId="23" fillId="0" borderId="47" xfId="0" applyFont="1" applyFill="1" applyBorder="1" applyAlignment="1">
      <alignment vertical="top"/>
    </xf>
    <xf numFmtId="38" fontId="23" fillId="0" borderId="10" xfId="0" applyNumberFormat="1" applyFont="1" applyFill="1" applyBorder="1" applyAlignment="1">
      <alignment horizontal="right" vertical="top"/>
    </xf>
    <xf numFmtId="0" fontId="23" fillId="0" borderId="10" xfId="0" applyFont="1" applyFill="1" applyBorder="1" applyAlignment="1">
      <alignment horizontal="left" vertical="top"/>
    </xf>
    <xf numFmtId="44" fontId="23" fillId="0" borderId="10" xfId="1" applyNumberFormat="1" applyFont="1" applyFill="1" applyBorder="1" applyAlignment="1">
      <alignment horizontal="left" vertical="top"/>
    </xf>
    <xf numFmtId="164" fontId="23" fillId="0" borderId="8" xfId="0" applyNumberFormat="1" applyFont="1" applyFill="1" applyBorder="1" applyAlignment="1">
      <alignment horizontal="center" vertical="top"/>
    </xf>
    <xf numFmtId="0" fontId="23" fillId="0" borderId="11" xfId="0" applyFont="1" applyFill="1" applyBorder="1" applyAlignment="1">
      <alignment horizontal="center"/>
    </xf>
    <xf numFmtId="44" fontId="26" fillId="0" borderId="11" xfId="1" applyFont="1" applyBorder="1" applyAlignment="1">
      <alignment horizontal="left" vertical="top"/>
    </xf>
    <xf numFmtId="38" fontId="23" fillId="0" borderId="15" xfId="0" applyNumberFormat="1" applyFont="1" applyBorder="1" applyAlignment="1">
      <alignment horizontal="right" vertical="top"/>
    </xf>
    <xf numFmtId="0" fontId="23" fillId="0" borderId="14" xfId="0" applyFont="1" applyFill="1" applyBorder="1" applyAlignment="1">
      <alignment vertical="top" wrapText="1"/>
    </xf>
    <xf numFmtId="44" fontId="23" fillId="0" borderId="5" xfId="0" applyNumberFormat="1" applyFont="1" applyBorder="1" applyAlignment="1">
      <alignment horizontal="left" vertical="top"/>
    </xf>
    <xf numFmtId="0" fontId="23" fillId="0" borderId="15" xfId="0" applyFont="1" applyBorder="1" applyAlignment="1">
      <alignment horizontal="left" vertical="top"/>
    </xf>
    <xf numFmtId="44" fontId="23" fillId="0" borderId="15" xfId="1" applyNumberFormat="1" applyFont="1" applyBorder="1" applyAlignment="1">
      <alignment horizontal="left" vertical="top"/>
    </xf>
    <xf numFmtId="0" fontId="24" fillId="0" borderId="0" xfId="0" applyFont="1"/>
    <xf numFmtId="166" fontId="23" fillId="0" borderId="0" xfId="0" applyNumberFormat="1" applyFont="1"/>
    <xf numFmtId="0" fontId="23" fillId="0" borderId="0" xfId="0" applyFont="1" applyAlignment="1">
      <alignment wrapText="1"/>
    </xf>
    <xf numFmtId="166" fontId="26" fillId="0" borderId="0" xfId="0" applyNumberFormat="1" applyFont="1"/>
    <xf numFmtId="166" fontId="28" fillId="0" borderId="0" xfId="0" applyNumberFormat="1" applyFont="1"/>
    <xf numFmtId="1" fontId="23" fillId="0" borderId="0" xfId="0" applyNumberFormat="1" applyFont="1"/>
    <xf numFmtId="44" fontId="23" fillId="0" borderId="11" xfId="1" applyNumberFormat="1" applyFont="1" applyBorder="1" applyAlignment="1">
      <alignment horizontal="center"/>
    </xf>
    <xf numFmtId="164" fontId="23" fillId="36" borderId="12" xfId="0" applyNumberFormat="1" applyFont="1" applyFill="1" applyBorder="1" applyAlignment="1">
      <alignment horizontal="center"/>
    </xf>
    <xf numFmtId="0" fontId="29" fillId="0" borderId="15" xfId="0" applyFont="1" applyBorder="1" applyAlignment="1">
      <alignment horizontal="left" vertical="top" wrapText="1"/>
    </xf>
    <xf numFmtId="0" fontId="30" fillId="0" borderId="15" xfId="0" applyFont="1" applyBorder="1" applyAlignment="1">
      <alignment horizontal="left" vertical="top" wrapText="1"/>
    </xf>
    <xf numFmtId="0" fontId="31" fillId="0" borderId="15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top" wrapText="1"/>
    </xf>
    <xf numFmtId="0" fontId="31" fillId="0" borderId="15" xfId="0" applyFont="1" applyFill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5" fillId="0" borderId="11" xfId="0" applyFont="1" applyBorder="1"/>
    <xf numFmtId="0" fontId="25" fillId="0" borderId="11" xfId="0" applyFont="1" applyBorder="1" applyAlignment="1">
      <alignment horizontal="left" vertical="top" wrapText="1"/>
    </xf>
    <xf numFmtId="0" fontId="24" fillId="0" borderId="0" xfId="0" applyFont="1" applyBorder="1" applyAlignment="1">
      <alignment horizontal="left" vertical="top" wrapText="1"/>
    </xf>
    <xf numFmtId="0" fontId="23" fillId="0" borderId="14" xfId="0" applyFont="1" applyBorder="1"/>
    <xf numFmtId="0" fontId="32" fillId="0" borderId="0" xfId="0" applyFont="1"/>
    <xf numFmtId="0" fontId="33" fillId="0" borderId="0" xfId="0" applyFont="1"/>
    <xf numFmtId="0" fontId="0" fillId="37" borderId="0" xfId="0" applyFill="1"/>
    <xf numFmtId="167" fontId="0" fillId="37" borderId="0" xfId="0" applyNumberFormat="1" applyFill="1"/>
    <xf numFmtId="1" fontId="23" fillId="0" borderId="11" xfId="0" applyNumberFormat="1" applyFont="1" applyFill="1" applyBorder="1" applyAlignment="1">
      <alignment horizontal="center"/>
    </xf>
    <xf numFmtId="166" fontId="23" fillId="0" borderId="11" xfId="1" applyNumberFormat="1" applyFont="1" applyBorder="1" applyAlignment="1">
      <alignment horizontal="center"/>
    </xf>
    <xf numFmtId="0" fontId="23" fillId="0" borderId="11" xfId="0" applyFont="1" applyBorder="1" applyAlignment="1">
      <alignment horizontal="left" vertical="top" wrapText="1"/>
    </xf>
    <xf numFmtId="0" fontId="25" fillId="0" borderId="0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top" wrapText="1"/>
    </xf>
    <xf numFmtId="0" fontId="23" fillId="0" borderId="7" xfId="0" applyFont="1" applyBorder="1" applyAlignment="1">
      <alignment horizontal="center" vertical="top" wrapText="1"/>
    </xf>
    <xf numFmtId="0" fontId="24" fillId="0" borderId="2" xfId="0" applyFont="1" applyFill="1" applyBorder="1" applyAlignment="1">
      <alignment horizontal="left" vertical="top" wrapText="1"/>
    </xf>
    <xf numFmtId="0" fontId="24" fillId="0" borderId="8" xfId="0" applyFont="1" applyFill="1" applyBorder="1" applyAlignment="1">
      <alignment horizontal="lef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19" xfId="0" applyFont="1" applyBorder="1" applyAlignment="1">
      <alignment horizontal="right" vertical="top" wrapText="1"/>
    </xf>
    <xf numFmtId="0" fontId="23" fillId="3" borderId="20" xfId="0" applyFont="1" applyFill="1" applyBorder="1" applyAlignment="1">
      <alignment horizontal="center" vertical="top" wrapText="1"/>
    </xf>
    <xf numFmtId="0" fontId="23" fillId="3" borderId="18" xfId="0" applyFont="1" applyFill="1" applyBorder="1" applyAlignment="1">
      <alignment horizontal="center" vertical="top" wrapText="1"/>
    </xf>
    <xf numFmtId="0" fontId="23" fillId="3" borderId="21" xfId="0" applyFont="1" applyFill="1" applyBorder="1" applyAlignment="1">
      <alignment horizontal="center" vertical="top" wrapText="1"/>
    </xf>
    <xf numFmtId="0" fontId="31" fillId="0" borderId="2" xfId="0" applyFont="1" applyFill="1" applyBorder="1" applyAlignment="1">
      <alignment horizontal="left" vertical="top" wrapText="1"/>
    </xf>
    <xf numFmtId="0" fontId="31" fillId="0" borderId="8" xfId="0" applyFont="1" applyFill="1" applyBorder="1" applyAlignment="1">
      <alignment horizontal="left" vertical="top" wrapText="1"/>
    </xf>
  </cellXfs>
  <cellStyles count="69">
    <cellStyle name="20% - Accent1" xfId="21" builtinId="30" customBuiltin="1"/>
    <cellStyle name="20% - Accent1 2" xfId="51" xr:uid="{00000000-0005-0000-0000-000001000000}"/>
    <cellStyle name="20% - Accent2" xfId="25" builtinId="34" customBuiltin="1"/>
    <cellStyle name="20% - Accent2 2" xfId="53" xr:uid="{00000000-0005-0000-0000-000003000000}"/>
    <cellStyle name="20% - Accent3" xfId="29" builtinId="38" customBuiltin="1"/>
    <cellStyle name="20% - Accent3 2" xfId="55" xr:uid="{00000000-0005-0000-0000-000005000000}"/>
    <cellStyle name="20% - Accent4" xfId="33" builtinId="42" customBuiltin="1"/>
    <cellStyle name="20% - Accent4 2" xfId="57" xr:uid="{00000000-0005-0000-0000-000007000000}"/>
    <cellStyle name="20% - Accent5" xfId="37" builtinId="46" customBuiltin="1"/>
    <cellStyle name="20% - Accent5 2" xfId="59" xr:uid="{00000000-0005-0000-0000-000009000000}"/>
    <cellStyle name="20% - Accent6" xfId="41" builtinId="50" customBuiltin="1"/>
    <cellStyle name="20% - Accent6 2" xfId="61" xr:uid="{00000000-0005-0000-0000-00000B000000}"/>
    <cellStyle name="40% - Accent1" xfId="22" builtinId="31" customBuiltin="1"/>
    <cellStyle name="40% - Accent1 2" xfId="52" xr:uid="{00000000-0005-0000-0000-00000D000000}"/>
    <cellStyle name="40% - Accent2" xfId="26" builtinId="35" customBuiltin="1"/>
    <cellStyle name="40% - Accent2 2" xfId="54" xr:uid="{00000000-0005-0000-0000-00000F000000}"/>
    <cellStyle name="40% - Accent3" xfId="30" builtinId="39" customBuiltin="1"/>
    <cellStyle name="40% - Accent3 2" xfId="56" xr:uid="{00000000-0005-0000-0000-000011000000}"/>
    <cellStyle name="40% - Accent4" xfId="34" builtinId="43" customBuiltin="1"/>
    <cellStyle name="40% - Accent4 2" xfId="58" xr:uid="{00000000-0005-0000-0000-000013000000}"/>
    <cellStyle name="40% - Accent5" xfId="38" builtinId="47" customBuiltin="1"/>
    <cellStyle name="40% - Accent5 2" xfId="60" xr:uid="{00000000-0005-0000-0000-000015000000}"/>
    <cellStyle name="40% - Accent6" xfId="42" builtinId="51" customBuiltin="1"/>
    <cellStyle name="40% - Accent6 2" xfId="62" xr:uid="{00000000-0005-0000-0000-000017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3" builtinId="3"/>
    <cellStyle name="Currency" xfId="1" builtinId="4"/>
    <cellStyle name="Currency 2" xfId="47" xr:uid="{00000000-0005-0000-0000-000029000000}"/>
    <cellStyle name="Currency 2 2" xfId="66" xr:uid="{00000000-0005-0000-0000-00002A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 xr:uid="{00000000-0005-0000-0000-000035000000}"/>
    <cellStyle name="Normal 2 2" xfId="49" xr:uid="{00000000-0005-0000-0000-000036000000}"/>
    <cellStyle name="Normal 2 2 2" xfId="50" xr:uid="{00000000-0005-0000-0000-000037000000}"/>
    <cellStyle name="Normal 2 2 3" xfId="68" xr:uid="{00000000-0005-0000-0000-000038000000}"/>
    <cellStyle name="Normal 2 3" xfId="63" xr:uid="{00000000-0005-0000-0000-000039000000}"/>
    <cellStyle name="Normal 3" xfId="46" xr:uid="{00000000-0005-0000-0000-00003A000000}"/>
    <cellStyle name="Normal 3 2" xfId="65" xr:uid="{00000000-0005-0000-0000-00003B000000}"/>
    <cellStyle name="Normal 4" xfId="48" xr:uid="{00000000-0005-0000-0000-00003C000000}"/>
    <cellStyle name="Normal 4 2" xfId="67" xr:uid="{00000000-0005-0000-0000-00003D000000}"/>
    <cellStyle name="Note 2" xfId="45" xr:uid="{00000000-0005-0000-0000-00003E000000}"/>
    <cellStyle name="Note 2 2" xfId="64" xr:uid="{00000000-0005-0000-0000-00003F000000}"/>
    <cellStyle name="Output" xfId="13" builtinId="21" customBuiltin="1"/>
    <cellStyle name="Percent" xfId="2" builtinId="5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tabSelected="1" view="pageBreakPreview" topLeftCell="A3" zoomScale="85" zoomScaleNormal="90" zoomScaleSheetLayoutView="85" workbookViewId="0">
      <selection activeCell="C50" sqref="C50"/>
    </sheetView>
  </sheetViews>
  <sheetFormatPr defaultColWidth="8.85546875" defaultRowHeight="12.75" x14ac:dyDescent="0.2"/>
  <cols>
    <col min="1" max="1" width="11" style="31" customWidth="1"/>
    <col min="2" max="2" width="7.7109375" style="31" bestFit="1" customWidth="1"/>
    <col min="3" max="3" width="72" style="4" customWidth="1"/>
    <col min="4" max="4" width="9.85546875" style="4" customWidth="1"/>
    <col min="5" max="5" width="10" style="4" customWidth="1"/>
    <col min="6" max="6" width="12.42578125" style="32" customWidth="1"/>
    <col min="7" max="7" width="12.7109375" style="4" customWidth="1"/>
    <col min="8" max="8" width="10.28515625" style="4" customWidth="1"/>
    <col min="9" max="9" width="10.7109375" style="4" customWidth="1"/>
    <col min="10" max="11" width="8.85546875" style="4"/>
    <col min="12" max="12" width="8.85546875" style="4" customWidth="1"/>
    <col min="13" max="13" width="15.85546875" style="4" customWidth="1"/>
    <col min="14" max="14" width="9.85546875" style="4" customWidth="1"/>
    <col min="15" max="15" width="10.7109375" style="4" customWidth="1"/>
    <col min="16" max="17" width="8.85546875" style="4"/>
    <col min="18" max="18" width="10.42578125" style="4" customWidth="1"/>
    <col min="19" max="19" width="10.7109375" style="4" customWidth="1"/>
    <col min="20" max="20" width="10.28515625" style="4" bestFit="1" customWidth="1"/>
    <col min="21" max="22" width="10.28515625" style="4" customWidth="1"/>
    <col min="23" max="23" width="8.85546875" style="4"/>
    <col min="24" max="24" width="10.28515625" style="4" bestFit="1" customWidth="1"/>
    <col min="25" max="16384" width="8.85546875" style="4"/>
  </cols>
  <sheetData>
    <row r="1" spans="1:25" ht="15.75" customHeight="1" thickBot="1" x14ac:dyDescent="0.25">
      <c r="A1" s="151" t="s">
        <v>16</v>
      </c>
      <c r="B1" s="3"/>
      <c r="C1" s="153" t="s">
        <v>120</v>
      </c>
      <c r="D1" s="35"/>
      <c r="E1" s="36"/>
      <c r="F1" s="37" t="s">
        <v>17</v>
      </c>
      <c r="G1" s="38">
        <v>0</v>
      </c>
      <c r="J1" s="4">
        <v>350</v>
      </c>
      <c r="K1" s="4" t="s">
        <v>20</v>
      </c>
    </row>
    <row r="2" spans="1:25" ht="13.5" thickBot="1" x14ac:dyDescent="0.25">
      <c r="A2" s="152"/>
      <c r="B2" s="5"/>
      <c r="C2" s="154"/>
      <c r="D2" s="39"/>
      <c r="E2" s="36"/>
      <c r="F2" s="122" t="s">
        <v>18</v>
      </c>
      <c r="G2" s="40">
        <f ca="1">NOW()</f>
        <v>43649.803040393519</v>
      </c>
      <c r="J2" s="4">
        <v>260</v>
      </c>
      <c r="K2" s="4" t="s">
        <v>64</v>
      </c>
    </row>
    <row r="3" spans="1:25" ht="13.5" thickBot="1" x14ac:dyDescent="0.25">
      <c r="A3" s="41"/>
      <c r="B3" s="41"/>
      <c r="C3" s="39"/>
      <c r="D3" s="39"/>
      <c r="E3" s="39"/>
      <c r="F3" s="42"/>
      <c r="G3" s="39"/>
      <c r="J3" s="4">
        <v>130</v>
      </c>
      <c r="K3" s="4" t="s">
        <v>22</v>
      </c>
    </row>
    <row r="4" spans="1:25" x14ac:dyDescent="0.2">
      <c r="A4" s="6" t="s">
        <v>0</v>
      </c>
      <c r="B4" s="7" t="s">
        <v>12</v>
      </c>
      <c r="C4" s="8" t="s">
        <v>1</v>
      </c>
      <c r="D4" s="9" t="s">
        <v>2</v>
      </c>
      <c r="E4" s="7" t="s">
        <v>3</v>
      </c>
      <c r="F4" s="10" t="s">
        <v>4</v>
      </c>
      <c r="G4" s="11" t="s">
        <v>14</v>
      </c>
      <c r="I4" s="125" t="s">
        <v>24</v>
      </c>
      <c r="M4" s="125" t="s">
        <v>25</v>
      </c>
      <c r="S4" s="125" t="s">
        <v>67</v>
      </c>
      <c r="V4" s="125" t="s">
        <v>66</v>
      </c>
      <c r="X4" s="125" t="s">
        <v>68</v>
      </c>
    </row>
    <row r="5" spans="1:25" ht="13.5" thickBot="1" x14ac:dyDescent="0.25">
      <c r="A5" s="12" t="s">
        <v>5</v>
      </c>
      <c r="B5" s="13"/>
      <c r="C5" s="5" t="s">
        <v>6</v>
      </c>
      <c r="D5" s="14" t="s">
        <v>7</v>
      </c>
      <c r="E5" s="13" t="s">
        <v>8</v>
      </c>
      <c r="F5" s="15" t="s">
        <v>9</v>
      </c>
      <c r="G5" s="16" t="s">
        <v>61</v>
      </c>
      <c r="I5" s="4" t="s">
        <v>65</v>
      </c>
      <c r="V5" s="125"/>
    </row>
    <row r="6" spans="1:25" x14ac:dyDescent="0.2">
      <c r="A6" s="86"/>
      <c r="B6" s="87"/>
      <c r="C6" s="44"/>
      <c r="D6" s="45"/>
      <c r="E6" s="46"/>
      <c r="F6" s="88"/>
      <c r="G6" s="89"/>
      <c r="I6" s="4">
        <f>J2+J3+J2</f>
        <v>650</v>
      </c>
      <c r="J6" s="4" t="s">
        <v>23</v>
      </c>
      <c r="R6" s="130"/>
      <c r="T6" s="128"/>
      <c r="U6" s="128"/>
      <c r="V6" s="128"/>
      <c r="X6" s="129">
        <f>SUM(S13+I11+V10)*115%</f>
        <v>14775.372500000001</v>
      </c>
      <c r="Y6" s="4" t="s">
        <v>36</v>
      </c>
    </row>
    <row r="7" spans="1:25" x14ac:dyDescent="0.2">
      <c r="A7" s="23"/>
      <c r="B7" s="24"/>
      <c r="C7" s="149"/>
      <c r="D7" s="120"/>
      <c r="E7" s="123"/>
      <c r="F7" s="124"/>
      <c r="G7" s="30"/>
      <c r="R7" s="130"/>
      <c r="T7" s="128"/>
      <c r="U7" s="128"/>
      <c r="V7" s="128"/>
      <c r="X7" s="129"/>
    </row>
    <row r="8" spans="1:25" x14ac:dyDescent="0.2">
      <c r="A8" s="23"/>
      <c r="B8" s="24"/>
      <c r="C8" s="139" t="s">
        <v>63</v>
      </c>
      <c r="D8" s="120"/>
      <c r="E8" s="123"/>
      <c r="F8" s="124"/>
      <c r="G8" s="30"/>
      <c r="L8" s="4">
        <v>1</v>
      </c>
      <c r="N8" s="4">
        <v>75</v>
      </c>
      <c r="O8" s="4" t="s">
        <v>75</v>
      </c>
      <c r="P8" s="126">
        <v>4.05</v>
      </c>
      <c r="Q8" s="126">
        <f>P8*N8</f>
        <v>303.75</v>
      </c>
      <c r="S8" s="126">
        <f>Q8*105%</f>
        <v>318.9375</v>
      </c>
    </row>
    <row r="9" spans="1:25" x14ac:dyDescent="0.2">
      <c r="A9" s="23"/>
      <c r="B9" s="24"/>
      <c r="C9" s="140" t="s">
        <v>130</v>
      </c>
      <c r="D9" s="120"/>
      <c r="E9" s="123"/>
      <c r="F9" s="124"/>
      <c r="G9" s="30"/>
      <c r="I9" s="32">
        <v>62.35</v>
      </c>
      <c r="Q9" s="126"/>
      <c r="S9" s="126"/>
    </row>
    <row r="10" spans="1:25" x14ac:dyDescent="0.2">
      <c r="A10" s="23"/>
      <c r="B10" s="24"/>
      <c r="C10" s="140"/>
      <c r="D10" s="120"/>
      <c r="E10" s="123"/>
      <c r="F10" s="124"/>
      <c r="G10" s="30"/>
      <c r="L10" s="4">
        <v>2</v>
      </c>
      <c r="N10" s="4">
        <v>235</v>
      </c>
      <c r="O10" s="4" t="s">
        <v>75</v>
      </c>
      <c r="P10" s="126">
        <v>2.5499999999999998</v>
      </c>
      <c r="Q10" s="126">
        <f t="shared" ref="Q10" si="0">P10*N10</f>
        <v>599.25</v>
      </c>
      <c r="S10" s="126">
        <f>Q10*105%</f>
        <v>629.21249999999998</v>
      </c>
      <c r="V10" s="129">
        <v>1500</v>
      </c>
    </row>
    <row r="11" spans="1:25" ht="25.5" x14ac:dyDescent="0.2">
      <c r="A11" s="23"/>
      <c r="B11" s="24"/>
      <c r="C11" s="27" t="s">
        <v>132</v>
      </c>
      <c r="D11" s="147">
        <v>260</v>
      </c>
      <c r="E11" s="118" t="s">
        <v>19</v>
      </c>
      <c r="F11" s="131">
        <v>62.1</v>
      </c>
      <c r="G11" s="132">
        <f>F11*D11</f>
        <v>16146</v>
      </c>
      <c r="H11" s="127" t="s">
        <v>85</v>
      </c>
      <c r="I11" s="129">
        <f>I6*5</f>
        <v>3250</v>
      </c>
      <c r="J11" s="4" t="s">
        <v>118</v>
      </c>
      <c r="L11" s="4">
        <v>3</v>
      </c>
      <c r="M11" s="127"/>
      <c r="N11" s="130"/>
      <c r="O11" s="126" t="s">
        <v>76</v>
      </c>
      <c r="P11" s="4" t="s">
        <v>77</v>
      </c>
      <c r="Q11" s="126">
        <f>N11/50*10</f>
        <v>0</v>
      </c>
      <c r="S11" s="126">
        <f>Q11*105%</f>
        <v>0</v>
      </c>
      <c r="T11" s="128"/>
      <c r="U11" s="128"/>
      <c r="V11" s="128"/>
    </row>
    <row r="12" spans="1:25" x14ac:dyDescent="0.2">
      <c r="A12" s="17"/>
      <c r="B12" s="18"/>
      <c r="D12" s="118"/>
      <c r="E12" s="118"/>
      <c r="F12" s="131"/>
      <c r="G12" s="132">
        <f t="shared" ref="G12:G36" si="1">F12*D12</f>
        <v>0</v>
      </c>
      <c r="N12" s="130">
        <f>D11*10</f>
        <v>2600</v>
      </c>
      <c r="O12" s="4" t="s">
        <v>76</v>
      </c>
      <c r="P12" s="126">
        <v>2.5</v>
      </c>
      <c r="Q12" s="126">
        <f>N12*P12</f>
        <v>6500</v>
      </c>
      <c r="S12" s="126">
        <f>Q12*110%</f>
        <v>7150.0000000000009</v>
      </c>
    </row>
    <row r="13" spans="1:25" x14ac:dyDescent="0.2">
      <c r="A13" s="17"/>
      <c r="B13" s="20"/>
      <c r="C13" s="27" t="s">
        <v>121</v>
      </c>
      <c r="D13" s="147">
        <v>42</v>
      </c>
      <c r="E13" s="118" t="s">
        <v>78</v>
      </c>
      <c r="F13" s="131">
        <v>28.5</v>
      </c>
      <c r="G13" s="132">
        <f>F13*D13</f>
        <v>1197</v>
      </c>
      <c r="H13" s="4" t="s">
        <v>109</v>
      </c>
      <c r="I13" s="129">
        <f>I6</f>
        <v>650</v>
      </c>
      <c r="J13" s="4" t="s">
        <v>80</v>
      </c>
      <c r="K13" s="4">
        <v>18.690000000000001</v>
      </c>
      <c r="S13" s="129">
        <f>SUM(S8:S12)</f>
        <v>8098.1500000000005</v>
      </c>
      <c r="X13" s="129"/>
    </row>
    <row r="14" spans="1:25" x14ac:dyDescent="0.2">
      <c r="A14" s="17"/>
      <c r="B14" s="20"/>
      <c r="C14" s="27"/>
      <c r="D14" s="147"/>
      <c r="E14" s="118"/>
      <c r="F14" s="131"/>
      <c r="G14" s="132">
        <f t="shared" ref="G14:G17" si="2">F14*D14</f>
        <v>0</v>
      </c>
      <c r="I14" s="129"/>
      <c r="S14" s="129"/>
      <c r="X14" s="129"/>
    </row>
    <row r="15" spans="1:25" x14ac:dyDescent="0.2">
      <c r="A15" s="17"/>
      <c r="B15" s="20"/>
      <c r="C15" s="27" t="s">
        <v>140</v>
      </c>
      <c r="D15" s="147">
        <v>52</v>
      </c>
      <c r="E15" s="118" t="s">
        <v>78</v>
      </c>
      <c r="F15" s="131">
        <v>5.88</v>
      </c>
      <c r="G15" s="132">
        <f t="shared" si="2"/>
        <v>305.76</v>
      </c>
      <c r="I15" s="129"/>
      <c r="S15" s="129"/>
      <c r="X15" s="129"/>
    </row>
    <row r="16" spans="1:25" x14ac:dyDescent="0.2">
      <c r="A16" s="23"/>
      <c r="B16" s="24"/>
      <c r="C16" s="27"/>
      <c r="D16" s="118"/>
      <c r="E16" s="118"/>
      <c r="F16" s="131"/>
      <c r="G16" s="132">
        <f t="shared" si="2"/>
        <v>0</v>
      </c>
      <c r="H16" s="127"/>
      <c r="I16" s="128"/>
      <c r="O16" s="126"/>
      <c r="Q16" s="128"/>
    </row>
    <row r="17" spans="1:25" x14ac:dyDescent="0.2">
      <c r="A17" s="23"/>
      <c r="B17" s="24"/>
      <c r="C17" s="27" t="s">
        <v>122</v>
      </c>
      <c r="D17" s="118">
        <v>52</v>
      </c>
      <c r="E17" s="118" t="s">
        <v>78</v>
      </c>
      <c r="F17" s="131">
        <v>13.11</v>
      </c>
      <c r="G17" s="132">
        <f t="shared" si="2"/>
        <v>681.72</v>
      </c>
      <c r="I17" s="129">
        <v>65</v>
      </c>
      <c r="J17" s="4" t="s">
        <v>79</v>
      </c>
      <c r="L17" s="4">
        <v>3</v>
      </c>
      <c r="N17" s="130">
        <f>N20*4</f>
        <v>750.73777777777786</v>
      </c>
      <c r="O17" s="126">
        <v>0.09</v>
      </c>
      <c r="P17" s="126">
        <f>N17*O17</f>
        <v>67.566400000000002</v>
      </c>
      <c r="S17" s="126">
        <f>P17*105%</f>
        <v>70.944720000000004</v>
      </c>
      <c r="T17" s="128"/>
      <c r="U17" s="128"/>
      <c r="V17" s="128"/>
      <c r="X17" s="129">
        <f>SUM(I13+S21)*115%</f>
        <v>1622.2878113333331</v>
      </c>
      <c r="Y17" s="4" t="s">
        <v>36</v>
      </c>
    </row>
    <row r="18" spans="1:25" x14ac:dyDescent="0.2">
      <c r="A18" s="23"/>
      <c r="B18" s="24"/>
      <c r="D18" s="118"/>
      <c r="E18" s="118"/>
      <c r="F18" s="131"/>
      <c r="G18" s="132">
        <f t="shared" si="1"/>
        <v>0</v>
      </c>
      <c r="L18" s="4">
        <v>4</v>
      </c>
      <c r="O18" s="126">
        <v>3.5</v>
      </c>
      <c r="P18" s="126">
        <f>N18*O18</f>
        <v>0</v>
      </c>
      <c r="S18" s="126">
        <f>P18*105%</f>
        <v>0</v>
      </c>
      <c r="X18" s="129">
        <f>SUM(I17+P21+P22)*115%</f>
        <v>304.75</v>
      </c>
      <c r="Y18" s="4" t="s">
        <v>36</v>
      </c>
    </row>
    <row r="19" spans="1:25" x14ac:dyDescent="0.2">
      <c r="A19" s="23"/>
      <c r="B19" s="24"/>
      <c r="C19" s="27" t="s">
        <v>123</v>
      </c>
      <c r="D19" s="147">
        <f>Dims!J30</f>
        <v>37.979999999999997</v>
      </c>
      <c r="E19" s="118" t="s">
        <v>78</v>
      </c>
      <c r="F19" s="131">
        <v>17.89</v>
      </c>
      <c r="G19" s="132">
        <f>D19*F19</f>
        <v>679.46219999999994</v>
      </c>
      <c r="I19" s="129">
        <v>250</v>
      </c>
      <c r="J19" s="4" t="s">
        <v>80</v>
      </c>
      <c r="O19" s="128"/>
      <c r="S19" s="126"/>
    </row>
    <row r="20" spans="1:25" x14ac:dyDescent="0.2">
      <c r="A20" s="23"/>
      <c r="B20" s="24"/>
      <c r="D20" s="118"/>
      <c r="E20" s="118"/>
      <c r="F20" s="131"/>
      <c r="G20" s="132"/>
      <c r="L20" s="4">
        <v>5</v>
      </c>
      <c r="N20" s="130">
        <f>Dims!J31</f>
        <v>187.68444444444447</v>
      </c>
      <c r="O20" s="126">
        <v>3.5</v>
      </c>
      <c r="P20" s="126">
        <f>N20*O20</f>
        <v>656.89555555555557</v>
      </c>
      <c r="S20" s="126">
        <f t="shared" ref="S20" si="3">P20*105%</f>
        <v>689.74033333333341</v>
      </c>
    </row>
    <row r="21" spans="1:25" x14ac:dyDescent="0.2">
      <c r="A21" s="23"/>
      <c r="B21" s="24"/>
      <c r="C21" s="27" t="s">
        <v>141</v>
      </c>
      <c r="D21" s="147"/>
      <c r="E21" s="118"/>
      <c r="F21" s="131"/>
      <c r="G21" s="132" t="s">
        <v>124</v>
      </c>
      <c r="I21" s="129"/>
      <c r="P21" s="126">
        <v>125</v>
      </c>
      <c r="S21" s="129">
        <f>SUM(S17:S20)</f>
        <v>760.68505333333337</v>
      </c>
    </row>
    <row r="22" spans="1:25" ht="13.9" customHeight="1" x14ac:dyDescent="0.2">
      <c r="A22" s="23"/>
      <c r="B22" s="24"/>
      <c r="C22" s="27"/>
      <c r="D22" s="118"/>
      <c r="E22" s="118"/>
      <c r="F22" s="131"/>
      <c r="G22" s="132"/>
      <c r="H22" s="127" t="s">
        <v>117</v>
      </c>
      <c r="I22" s="129">
        <f>I6*4.5</f>
        <v>2925</v>
      </c>
      <c r="P22" s="126">
        <v>75</v>
      </c>
      <c r="S22" s="129"/>
    </row>
    <row r="23" spans="1:25" x14ac:dyDescent="0.2">
      <c r="A23" s="23"/>
      <c r="B23" s="24"/>
      <c r="C23" s="139" t="s">
        <v>63</v>
      </c>
      <c r="D23" s="118"/>
      <c r="E23" s="118"/>
      <c r="F23" s="131"/>
      <c r="G23" s="132"/>
      <c r="I23" s="129"/>
      <c r="L23" s="4">
        <v>6</v>
      </c>
      <c r="N23" s="4">
        <v>8</v>
      </c>
      <c r="O23" s="126">
        <v>3.5</v>
      </c>
      <c r="P23" s="126">
        <f>N23*O23</f>
        <v>28</v>
      </c>
      <c r="S23" s="126">
        <f>P23*105%</f>
        <v>29.400000000000002</v>
      </c>
      <c r="X23" s="129">
        <f>SUM(I19+S32)*115%</f>
        <v>499.65774999999996</v>
      </c>
      <c r="Y23" s="4" t="s">
        <v>36</v>
      </c>
    </row>
    <row r="24" spans="1:25" x14ac:dyDescent="0.2">
      <c r="A24" s="23"/>
      <c r="B24" s="24"/>
      <c r="C24" s="140" t="s">
        <v>143</v>
      </c>
      <c r="D24" s="118"/>
      <c r="E24" s="118"/>
      <c r="F24" s="131"/>
      <c r="G24" s="132"/>
      <c r="I24" s="129"/>
      <c r="J24" s="125"/>
      <c r="L24" s="4">
        <v>7</v>
      </c>
      <c r="N24" s="4">
        <f>D19/0.9</f>
        <v>42.199999999999996</v>
      </c>
      <c r="O24" s="126">
        <v>3.5</v>
      </c>
      <c r="P24" s="126">
        <f>N24*O24</f>
        <v>147.69999999999999</v>
      </c>
      <c r="S24" s="126">
        <f>P24*105%</f>
        <v>155.08500000000001</v>
      </c>
    </row>
    <row r="25" spans="1:25" x14ac:dyDescent="0.2">
      <c r="A25" s="23"/>
      <c r="B25" s="24"/>
      <c r="C25" s="150"/>
      <c r="D25" s="118"/>
      <c r="E25" s="118"/>
      <c r="F25" s="131"/>
      <c r="G25" s="132"/>
      <c r="I25" s="129"/>
      <c r="J25" s="125"/>
      <c r="O25" s="126"/>
      <c r="P25" s="126"/>
      <c r="S25" s="126"/>
    </row>
    <row r="26" spans="1:25" x14ac:dyDescent="0.2">
      <c r="A26" s="23"/>
      <c r="B26" s="24"/>
      <c r="C26" s="27" t="s">
        <v>125</v>
      </c>
      <c r="D26" s="118">
        <v>1</v>
      </c>
      <c r="E26" s="118" t="s">
        <v>129</v>
      </c>
      <c r="F26" s="131">
        <v>8214</v>
      </c>
      <c r="G26" s="132">
        <f>D26*F26</f>
        <v>8214</v>
      </c>
      <c r="I26" s="129"/>
      <c r="J26" s="125"/>
      <c r="O26" s="126"/>
      <c r="P26" s="126"/>
      <c r="S26" s="126"/>
    </row>
    <row r="27" spans="1:25" x14ac:dyDescent="0.2">
      <c r="A27" s="23"/>
      <c r="B27" s="24"/>
      <c r="C27" s="27"/>
      <c r="D27" s="118"/>
      <c r="E27" s="118"/>
      <c r="F27" s="131"/>
      <c r="G27" s="132">
        <f t="shared" ref="G27:G34" si="4">D27*F27</f>
        <v>0</v>
      </c>
      <c r="I27" s="129"/>
      <c r="J27" s="125"/>
      <c r="O27" s="126"/>
      <c r="P27" s="126"/>
      <c r="S27" s="126"/>
    </row>
    <row r="28" spans="1:25" x14ac:dyDescent="0.2">
      <c r="A28" s="23"/>
      <c r="B28" s="24"/>
      <c r="C28" s="27" t="s">
        <v>127</v>
      </c>
      <c r="D28" s="118">
        <v>1</v>
      </c>
      <c r="E28" s="118" t="s">
        <v>129</v>
      </c>
      <c r="F28" s="131">
        <v>720</v>
      </c>
      <c r="G28" s="132">
        <f t="shared" si="4"/>
        <v>720</v>
      </c>
      <c r="I28" s="129"/>
      <c r="J28" s="125"/>
      <c r="O28" s="126"/>
      <c r="P28" s="126"/>
      <c r="S28" s="126"/>
    </row>
    <row r="29" spans="1:25" x14ac:dyDescent="0.2">
      <c r="A29" s="23"/>
      <c r="B29" s="24"/>
      <c r="C29" s="27"/>
      <c r="D29" s="118"/>
      <c r="E29" s="118"/>
      <c r="F29" s="131"/>
      <c r="G29" s="132">
        <f t="shared" si="4"/>
        <v>0</v>
      </c>
      <c r="I29" s="129"/>
      <c r="J29" s="125"/>
      <c r="O29" s="126"/>
      <c r="P29" s="126"/>
      <c r="S29" s="126"/>
    </row>
    <row r="30" spans="1:25" x14ac:dyDescent="0.2">
      <c r="A30" s="23"/>
      <c r="B30" s="24"/>
      <c r="C30" s="27" t="s">
        <v>128</v>
      </c>
      <c r="D30" s="118">
        <v>73</v>
      </c>
      <c r="E30" s="118" t="s">
        <v>19</v>
      </c>
      <c r="F30" s="131">
        <v>3.88</v>
      </c>
      <c r="G30" s="132">
        <f t="shared" si="4"/>
        <v>283.24</v>
      </c>
      <c r="I30" s="129"/>
      <c r="J30" s="125"/>
      <c r="O30" s="126"/>
      <c r="P30" s="126"/>
      <c r="S30" s="126"/>
    </row>
    <row r="31" spans="1:25" x14ac:dyDescent="0.2">
      <c r="A31" s="23"/>
      <c r="B31" s="24"/>
      <c r="C31" s="150"/>
      <c r="D31" s="118"/>
      <c r="E31" s="118"/>
      <c r="F31" s="131"/>
      <c r="G31" s="132">
        <f t="shared" si="4"/>
        <v>0</v>
      </c>
      <c r="I31" s="129"/>
      <c r="J31" s="125"/>
      <c r="O31" s="126"/>
      <c r="P31" s="126"/>
      <c r="S31" s="126"/>
    </row>
    <row r="32" spans="1:25" x14ac:dyDescent="0.2">
      <c r="A32" s="23"/>
      <c r="B32" s="24"/>
      <c r="C32" s="27" t="s">
        <v>126</v>
      </c>
      <c r="D32" s="118">
        <v>73</v>
      </c>
      <c r="E32" s="118" t="s">
        <v>19</v>
      </c>
      <c r="F32" s="131">
        <v>65.55</v>
      </c>
      <c r="G32" s="132">
        <f t="shared" si="4"/>
        <v>4785.1499999999996</v>
      </c>
      <c r="I32" s="125"/>
      <c r="J32" s="125"/>
      <c r="O32" s="128"/>
      <c r="S32" s="129">
        <f>SUM(S23:S24)</f>
        <v>184.48500000000001</v>
      </c>
      <c r="X32" s="129"/>
    </row>
    <row r="33" spans="1:25" x14ac:dyDescent="0.2">
      <c r="A33" s="23"/>
      <c r="B33" s="24"/>
      <c r="C33" s="27"/>
      <c r="D33" s="118"/>
      <c r="E33" s="118"/>
      <c r="F33" s="131"/>
      <c r="G33" s="132">
        <f t="shared" si="4"/>
        <v>0</v>
      </c>
      <c r="I33" s="125"/>
      <c r="J33" s="125"/>
      <c r="O33" s="128"/>
      <c r="S33" s="129"/>
      <c r="X33" s="129"/>
    </row>
    <row r="34" spans="1:25" x14ac:dyDescent="0.2">
      <c r="A34" s="23"/>
      <c r="B34" s="24"/>
      <c r="C34" s="27" t="s">
        <v>122</v>
      </c>
      <c r="D34" s="118">
        <v>26</v>
      </c>
      <c r="E34" s="118" t="s">
        <v>78</v>
      </c>
      <c r="F34" s="131">
        <v>29.1</v>
      </c>
      <c r="G34" s="132">
        <f t="shared" si="4"/>
        <v>756.6</v>
      </c>
      <c r="I34" s="125"/>
      <c r="J34" s="125"/>
      <c r="O34" s="128"/>
      <c r="S34" s="129"/>
      <c r="X34" s="129"/>
    </row>
    <row r="35" spans="1:25" x14ac:dyDescent="0.2">
      <c r="A35" s="23"/>
      <c r="B35" s="24"/>
      <c r="C35" s="27"/>
      <c r="D35" s="118"/>
      <c r="E35" s="118"/>
      <c r="F35" s="131"/>
      <c r="G35" s="132"/>
      <c r="I35" s="125"/>
      <c r="J35" s="125"/>
      <c r="O35" s="128"/>
      <c r="S35" s="129"/>
      <c r="X35" s="129"/>
    </row>
    <row r="36" spans="1:25" x14ac:dyDescent="0.2">
      <c r="A36" s="23"/>
      <c r="B36" s="24"/>
      <c r="C36" s="27"/>
      <c r="D36" s="118"/>
      <c r="E36" s="118"/>
      <c r="F36" s="131"/>
      <c r="G36" s="132">
        <f t="shared" si="1"/>
        <v>0</v>
      </c>
      <c r="X36" s="129">
        <f>SUM(I22+S54)*115%</f>
        <v>18084.023584999999</v>
      </c>
      <c r="Y36" s="4" t="s">
        <v>36</v>
      </c>
    </row>
    <row r="37" spans="1:25" x14ac:dyDescent="0.2">
      <c r="A37" s="23"/>
      <c r="B37" s="24"/>
      <c r="C37" s="141" t="s">
        <v>142</v>
      </c>
      <c r="D37" s="118">
        <v>4</v>
      </c>
      <c r="E37" s="118" t="s">
        <v>112</v>
      </c>
      <c r="F37" s="148">
        <f>J64</f>
        <v>3490</v>
      </c>
      <c r="G37" s="132">
        <f>F37*4</f>
        <v>13960</v>
      </c>
    </row>
    <row r="38" spans="1:25" x14ac:dyDescent="0.2">
      <c r="A38" s="23"/>
      <c r="B38" s="24"/>
      <c r="C38" s="1"/>
      <c r="D38" s="2"/>
      <c r="E38" s="118"/>
      <c r="F38" s="131"/>
      <c r="G38" s="132">
        <f>F38*D38</f>
        <v>0</v>
      </c>
      <c r="I38" s="125" t="s">
        <v>81</v>
      </c>
      <c r="J38" s="125" t="s">
        <v>82</v>
      </c>
      <c r="P38" s="4">
        <f>18*4</f>
        <v>72</v>
      </c>
      <c r="Q38" s="32">
        <v>5</v>
      </c>
      <c r="R38" s="32">
        <f>P38*Q38</f>
        <v>360</v>
      </c>
      <c r="S38" s="126">
        <f>R38*105%</f>
        <v>378</v>
      </c>
    </row>
    <row r="39" spans="1:25" x14ac:dyDescent="0.2">
      <c r="A39" s="23"/>
      <c r="B39" s="24"/>
      <c r="C39" s="1"/>
      <c r="D39" s="2"/>
      <c r="E39" s="118"/>
      <c r="F39" s="131"/>
      <c r="G39" s="132">
        <f>F39*D39</f>
        <v>0</v>
      </c>
      <c r="I39" s="125">
        <v>7</v>
      </c>
      <c r="J39" s="125" t="s">
        <v>42</v>
      </c>
      <c r="Q39" s="32"/>
      <c r="R39" s="32"/>
      <c r="S39" s="126"/>
    </row>
    <row r="40" spans="1:25" x14ac:dyDescent="0.2">
      <c r="A40" s="23"/>
      <c r="B40" s="24"/>
      <c r="C40" s="27"/>
      <c r="D40" s="26"/>
      <c r="E40" s="118"/>
      <c r="F40" s="131"/>
      <c r="G40" s="21"/>
      <c r="I40" s="125" t="s">
        <v>26</v>
      </c>
      <c r="P40" s="4">
        <v>18</v>
      </c>
      <c r="Q40" s="32">
        <v>8</v>
      </c>
      <c r="R40" s="32">
        <f t="shared" ref="R40:R50" si="5">P40*Q40</f>
        <v>144</v>
      </c>
      <c r="S40" s="126">
        <f t="shared" ref="S40:S50" si="6">R40*105%</f>
        <v>151.20000000000002</v>
      </c>
    </row>
    <row r="41" spans="1:25" x14ac:dyDescent="0.2">
      <c r="A41" s="23"/>
      <c r="B41" s="24"/>
      <c r="C41" s="27"/>
      <c r="D41" s="26"/>
      <c r="E41" s="118"/>
      <c r="F41" s="131"/>
      <c r="G41" s="21"/>
      <c r="I41" s="4" t="s">
        <v>71</v>
      </c>
      <c r="J41" s="4" t="s">
        <v>84</v>
      </c>
      <c r="R41" s="32"/>
      <c r="S41" s="126"/>
    </row>
    <row r="42" spans="1:25" x14ac:dyDescent="0.2">
      <c r="A42" s="23"/>
      <c r="B42" s="24"/>
      <c r="C42" s="27"/>
      <c r="D42" s="28"/>
      <c r="E42" s="29"/>
      <c r="F42" s="119"/>
      <c r="G42" s="30"/>
      <c r="I42" s="4" t="s">
        <v>111</v>
      </c>
      <c r="J42" s="4">
        <v>400</v>
      </c>
      <c r="P42" s="4">
        <v>18</v>
      </c>
      <c r="Q42" s="32">
        <v>15</v>
      </c>
      <c r="R42" s="32">
        <f t="shared" si="5"/>
        <v>270</v>
      </c>
      <c r="S42" s="126">
        <f t="shared" si="6"/>
        <v>283.5</v>
      </c>
    </row>
    <row r="43" spans="1:25" ht="13.5" thickBot="1" x14ac:dyDescent="0.25">
      <c r="A43" s="12"/>
      <c r="B43" s="90"/>
      <c r="C43" s="91"/>
      <c r="D43" s="92"/>
      <c r="E43" s="93"/>
      <c r="F43" s="94"/>
      <c r="G43" s="95">
        <f>SUM(G6:G41)</f>
        <v>47728.932199999996</v>
      </c>
      <c r="I43" s="4" t="s">
        <v>27</v>
      </c>
      <c r="J43" s="4">
        <v>8</v>
      </c>
      <c r="R43" s="32"/>
      <c r="S43" s="126"/>
    </row>
    <row r="44" spans="1:25" x14ac:dyDescent="0.2">
      <c r="A44" s="103" t="s">
        <v>13</v>
      </c>
      <c r="B44" s="104"/>
      <c r="C44" s="105"/>
      <c r="D44" s="106"/>
      <c r="E44" s="107"/>
      <c r="F44" s="108"/>
      <c r="G44" s="109">
        <f>IF(D44&gt;-0.01,D44*F44,"Omission")</f>
        <v>0</v>
      </c>
      <c r="I44" s="4" t="s">
        <v>28</v>
      </c>
      <c r="J44" s="4">
        <v>12</v>
      </c>
      <c r="P44" s="4">
        <v>18</v>
      </c>
      <c r="Q44" s="32">
        <v>38</v>
      </c>
      <c r="R44" s="32">
        <f t="shared" si="5"/>
        <v>684</v>
      </c>
      <c r="S44" s="126">
        <f t="shared" si="6"/>
        <v>718.2</v>
      </c>
    </row>
    <row r="45" spans="1:25" x14ac:dyDescent="0.2">
      <c r="A45" s="43"/>
      <c r="B45" s="19"/>
      <c r="C45" s="48" t="s">
        <v>135</v>
      </c>
      <c r="D45" s="49"/>
      <c r="E45" s="50"/>
      <c r="F45" s="51"/>
      <c r="G45" s="47">
        <f>IF(D45&gt;-0.01,D45*F45,"Omission")</f>
        <v>0</v>
      </c>
      <c r="I45" s="4" t="s">
        <v>29</v>
      </c>
      <c r="J45" s="4">
        <v>25</v>
      </c>
      <c r="R45" s="32"/>
      <c r="S45" s="126"/>
    </row>
    <row r="46" spans="1:25" x14ac:dyDescent="0.2">
      <c r="A46" s="23"/>
      <c r="B46" s="24"/>
      <c r="C46" s="48" t="s">
        <v>144</v>
      </c>
      <c r="D46" s="49"/>
      <c r="E46" s="50"/>
      <c r="F46" s="51"/>
      <c r="G46" s="47"/>
      <c r="I46" s="4" t="s">
        <v>69</v>
      </c>
      <c r="J46" s="4">
        <v>95</v>
      </c>
      <c r="P46" s="4">
        <v>25</v>
      </c>
      <c r="Q46" s="32">
        <v>4</v>
      </c>
      <c r="R46" s="32">
        <f t="shared" si="5"/>
        <v>100</v>
      </c>
      <c r="S46" s="126">
        <f t="shared" si="6"/>
        <v>105</v>
      </c>
    </row>
    <row r="47" spans="1:25" x14ac:dyDescent="0.2">
      <c r="A47" s="23"/>
      <c r="B47" s="24"/>
      <c r="C47" s="48" t="s">
        <v>72</v>
      </c>
      <c r="D47" s="49"/>
      <c r="E47" s="50"/>
      <c r="F47" s="51"/>
      <c r="G47" s="47"/>
      <c r="I47" s="4" t="s">
        <v>70</v>
      </c>
      <c r="J47" s="4">
        <v>75</v>
      </c>
      <c r="R47" s="32"/>
      <c r="S47" s="126"/>
    </row>
    <row r="48" spans="1:25" x14ac:dyDescent="0.2">
      <c r="A48" s="22"/>
      <c r="B48" s="24"/>
      <c r="C48" s="25" t="s">
        <v>131</v>
      </c>
      <c r="D48" s="25"/>
      <c r="E48" s="25"/>
      <c r="F48" s="110"/>
      <c r="G48" s="111"/>
      <c r="I48" s="4" t="s">
        <v>83</v>
      </c>
      <c r="J48" s="4">
        <v>0</v>
      </c>
      <c r="P48" s="4">
        <v>18</v>
      </c>
      <c r="Q48" s="32">
        <v>13</v>
      </c>
      <c r="R48" s="32">
        <f t="shared" si="5"/>
        <v>234</v>
      </c>
      <c r="S48" s="126">
        <f t="shared" si="6"/>
        <v>245.70000000000002</v>
      </c>
    </row>
    <row r="49" spans="1:19" x14ac:dyDescent="0.2">
      <c r="A49" s="22"/>
      <c r="B49" s="24"/>
      <c r="C49" s="48" t="s">
        <v>110</v>
      </c>
      <c r="D49" s="25"/>
      <c r="E49" s="25"/>
      <c r="F49" s="110"/>
      <c r="G49" s="111"/>
      <c r="I49" s="4" t="s">
        <v>30</v>
      </c>
      <c r="J49" s="4">
        <v>0</v>
      </c>
      <c r="R49" s="32"/>
      <c r="S49" s="126"/>
    </row>
    <row r="50" spans="1:19" x14ac:dyDescent="0.2">
      <c r="A50" s="22"/>
      <c r="B50" s="24"/>
      <c r="C50" s="25" t="s">
        <v>134</v>
      </c>
      <c r="D50" s="25"/>
      <c r="E50" s="25"/>
      <c r="F50" s="110"/>
      <c r="G50" s="111"/>
      <c r="I50" s="4" t="s">
        <v>31</v>
      </c>
      <c r="J50" s="4">
        <v>100</v>
      </c>
      <c r="N50" s="4">
        <f>Dims!R12</f>
        <v>86.817999999999984</v>
      </c>
      <c r="P50" s="4">
        <f>N50</f>
        <v>86.817999999999984</v>
      </c>
      <c r="Q50" s="32">
        <v>111</v>
      </c>
      <c r="R50" s="32">
        <f t="shared" si="5"/>
        <v>9636.7979999999989</v>
      </c>
      <c r="S50" s="126">
        <f t="shared" si="6"/>
        <v>10118.6379</v>
      </c>
    </row>
    <row r="51" spans="1:19" ht="12.6" customHeight="1" x14ac:dyDescent="0.2">
      <c r="A51" s="43"/>
      <c r="B51" s="19"/>
      <c r="C51" s="48" t="s">
        <v>58</v>
      </c>
      <c r="D51" s="49"/>
      <c r="E51" s="50"/>
      <c r="F51" s="51"/>
      <c r="G51" s="47">
        <f>IF(D51&gt;-0.01,D51*F51,"Omission")</f>
        <v>0</v>
      </c>
      <c r="I51" s="4" t="s">
        <v>32</v>
      </c>
      <c r="J51" s="4">
        <v>350</v>
      </c>
    </row>
    <row r="52" spans="1:19" x14ac:dyDescent="0.2">
      <c r="A52" s="43"/>
      <c r="B52" s="19"/>
      <c r="C52" s="48" t="s">
        <v>59</v>
      </c>
      <c r="D52" s="49"/>
      <c r="E52" s="50"/>
      <c r="F52" s="51"/>
      <c r="G52" s="47">
        <f>IF(D52&gt;-0.01,D52*F52,"Omission")</f>
        <v>0</v>
      </c>
      <c r="I52" s="4" t="s">
        <v>33</v>
      </c>
      <c r="J52" s="4">
        <v>155</v>
      </c>
      <c r="P52" s="4">
        <v>1</v>
      </c>
      <c r="S52" s="126">
        <v>800</v>
      </c>
    </row>
    <row r="53" spans="1:19" x14ac:dyDescent="0.2">
      <c r="A53" s="43"/>
      <c r="B53" s="19"/>
      <c r="C53" s="48" t="s">
        <v>57</v>
      </c>
      <c r="D53" s="49"/>
      <c r="E53" s="50"/>
      <c r="F53" s="51"/>
      <c r="G53" s="47"/>
      <c r="I53" s="4" t="s">
        <v>34</v>
      </c>
      <c r="J53" s="4">
        <v>15</v>
      </c>
    </row>
    <row r="54" spans="1:19" x14ac:dyDescent="0.2">
      <c r="A54" s="43"/>
      <c r="B54" s="19"/>
      <c r="C54" s="48" t="s">
        <v>74</v>
      </c>
      <c r="D54" s="49"/>
      <c r="E54" s="50"/>
      <c r="F54" s="51"/>
      <c r="G54" s="47"/>
      <c r="I54" s="4" t="s">
        <v>38</v>
      </c>
      <c r="J54" s="4">
        <f>K54*L54</f>
        <v>1750</v>
      </c>
      <c r="K54" s="4">
        <v>350</v>
      </c>
      <c r="L54" s="4">
        <v>5</v>
      </c>
      <c r="M54" s="4" t="s">
        <v>40</v>
      </c>
      <c r="S54" s="129">
        <f>SUM(S38:S53)</f>
        <v>12800.2379</v>
      </c>
    </row>
    <row r="55" spans="1:19" ht="25.5" x14ac:dyDescent="0.2">
      <c r="A55" s="43"/>
      <c r="B55" s="19"/>
      <c r="C55" s="121" t="s">
        <v>60</v>
      </c>
      <c r="D55" s="49"/>
      <c r="E55" s="50"/>
      <c r="F55" s="51"/>
      <c r="G55" s="47"/>
      <c r="I55" s="4" t="s">
        <v>37</v>
      </c>
      <c r="J55" s="4">
        <v>250</v>
      </c>
    </row>
    <row r="56" spans="1:19" x14ac:dyDescent="0.2">
      <c r="A56" s="43"/>
      <c r="B56" s="19"/>
      <c r="C56" s="121" t="s">
        <v>138</v>
      </c>
      <c r="D56" s="49"/>
      <c r="E56" s="50"/>
      <c r="F56" s="51"/>
      <c r="G56" s="47"/>
      <c r="I56" s="4" t="s">
        <v>39</v>
      </c>
      <c r="J56" s="4">
        <v>150</v>
      </c>
    </row>
    <row r="57" spans="1:19" ht="25.5" x14ac:dyDescent="0.2">
      <c r="A57" s="43"/>
      <c r="B57" s="19"/>
      <c r="C57" s="121" t="s">
        <v>35</v>
      </c>
      <c r="D57" s="49"/>
      <c r="E57" s="50"/>
      <c r="F57" s="51"/>
      <c r="G57" s="47"/>
      <c r="I57" s="4" t="s">
        <v>41</v>
      </c>
      <c r="J57" s="4">
        <v>15</v>
      </c>
    </row>
    <row r="58" spans="1:19" x14ac:dyDescent="0.2">
      <c r="A58" s="43"/>
      <c r="B58" s="19"/>
      <c r="C58" s="121" t="s">
        <v>139</v>
      </c>
      <c r="D58" s="49"/>
      <c r="E58" s="50"/>
      <c r="F58" s="51"/>
      <c r="G58" s="47"/>
    </row>
    <row r="59" spans="1:19" x14ac:dyDescent="0.2">
      <c r="A59" s="43"/>
      <c r="B59" s="19"/>
      <c r="C59" s="121" t="s">
        <v>137</v>
      </c>
      <c r="D59" s="49"/>
      <c r="E59" s="50"/>
      <c r="F59" s="51"/>
      <c r="G59" s="47"/>
    </row>
    <row r="60" spans="1:19" ht="25.5" x14ac:dyDescent="0.2">
      <c r="A60" s="43"/>
      <c r="B60" s="19"/>
      <c r="C60" s="121" t="s">
        <v>136</v>
      </c>
      <c r="D60" s="49"/>
      <c r="E60" s="50"/>
      <c r="F60" s="51"/>
      <c r="G60" s="47"/>
    </row>
    <row r="61" spans="1:19" x14ac:dyDescent="0.2">
      <c r="A61" s="43"/>
      <c r="B61" s="19"/>
      <c r="C61" s="48" t="s">
        <v>116</v>
      </c>
      <c r="D61" s="49"/>
      <c r="E61" s="50"/>
      <c r="F61" s="51"/>
      <c r="G61" s="47"/>
      <c r="I61" s="4" t="s">
        <v>119</v>
      </c>
      <c r="J61" s="4">
        <v>50</v>
      </c>
    </row>
    <row r="62" spans="1:19" x14ac:dyDescent="0.2">
      <c r="A62" s="43"/>
      <c r="B62" s="19"/>
      <c r="C62" s="142" t="s">
        <v>56</v>
      </c>
      <c r="D62" s="49"/>
      <c r="E62" s="50"/>
      <c r="F62" s="51"/>
      <c r="G62" s="47"/>
      <c r="I62" s="4" t="s">
        <v>43</v>
      </c>
      <c r="J62" s="4">
        <v>25</v>
      </c>
    </row>
    <row r="63" spans="1:19" ht="13.5" thickBot="1" x14ac:dyDescent="0.25">
      <c r="A63" s="43"/>
      <c r="B63" s="19"/>
      <c r="C63" s="121" t="s">
        <v>133</v>
      </c>
      <c r="D63" s="49"/>
      <c r="E63" s="50"/>
      <c r="F63" s="51"/>
      <c r="G63" s="47"/>
      <c r="I63" s="4" t="s">
        <v>73</v>
      </c>
      <c r="J63" s="4">
        <v>15</v>
      </c>
    </row>
    <row r="64" spans="1:19" x14ac:dyDescent="0.2">
      <c r="A64" s="103" t="s">
        <v>15</v>
      </c>
      <c r="B64" s="104"/>
      <c r="C64" s="105"/>
      <c r="D64" s="106"/>
      <c r="E64" s="107"/>
      <c r="F64" s="108"/>
      <c r="G64" s="109">
        <f>IF(D64&gt;-0.01,D64*F64,"Omission")</f>
        <v>0</v>
      </c>
      <c r="J64" s="129">
        <f>SUM(J41:J63)</f>
        <v>3490</v>
      </c>
    </row>
    <row r="65" spans="1:7" x14ac:dyDescent="0.2">
      <c r="A65" s="43"/>
      <c r="B65" s="19"/>
      <c r="C65" s="48"/>
      <c r="D65" s="49"/>
      <c r="E65" s="50"/>
      <c r="F65" s="51"/>
      <c r="G65" s="47"/>
    </row>
    <row r="66" spans="1:7" x14ac:dyDescent="0.2">
      <c r="A66" s="43"/>
      <c r="B66" s="19"/>
      <c r="C66" s="48"/>
      <c r="D66" s="49"/>
      <c r="E66" s="50"/>
      <c r="F66" s="51"/>
      <c r="G66" s="47"/>
    </row>
    <row r="67" spans="1:7" ht="13.5" thickBot="1" x14ac:dyDescent="0.25">
      <c r="A67" s="112"/>
      <c r="B67" s="13"/>
      <c r="C67" s="113"/>
      <c r="D67" s="114"/>
      <c r="E67" s="115"/>
      <c r="F67" s="116"/>
      <c r="G67" s="117">
        <f>IF(D67&gt;-0.01,D67*F67,"Omission")</f>
        <v>0</v>
      </c>
    </row>
    <row r="68" spans="1:7" x14ac:dyDescent="0.2">
      <c r="A68" s="96"/>
      <c r="B68" s="97"/>
      <c r="C68" s="98" t="s">
        <v>10</v>
      </c>
      <c r="D68" s="99"/>
      <c r="E68" s="100"/>
      <c r="F68" s="101"/>
      <c r="G68" s="102">
        <f>SUM(G43)</f>
        <v>47728.932199999996</v>
      </c>
    </row>
    <row r="69" spans="1:7" x14ac:dyDescent="0.2">
      <c r="A69" s="52"/>
      <c r="B69" s="53"/>
      <c r="C69" s="54"/>
      <c r="D69" s="55"/>
      <c r="E69" s="56"/>
      <c r="F69" s="57"/>
      <c r="G69" s="58"/>
    </row>
    <row r="70" spans="1:7" x14ac:dyDescent="0.2">
      <c r="A70" s="52"/>
      <c r="B70" s="64"/>
      <c r="C70" s="54"/>
      <c r="D70" s="65"/>
      <c r="E70" s="56"/>
      <c r="F70" s="66"/>
      <c r="G70" s="58"/>
    </row>
    <row r="71" spans="1:7" ht="13.5" thickBot="1" x14ac:dyDescent="0.25">
      <c r="A71" s="67"/>
      <c r="B71" s="68"/>
      <c r="C71" s="69"/>
      <c r="D71" s="70"/>
      <c r="E71" s="71"/>
      <c r="F71" s="72"/>
      <c r="G71" s="73"/>
    </row>
    <row r="72" spans="1:7" ht="13.5" thickBot="1" x14ac:dyDescent="0.25">
      <c r="A72" s="74"/>
      <c r="B72" s="75"/>
      <c r="C72" s="155" t="s">
        <v>11</v>
      </c>
      <c r="D72" s="155"/>
      <c r="E72" s="155"/>
      <c r="F72" s="156"/>
      <c r="G72" s="76">
        <f>SUM(G68:G71)</f>
        <v>47728.932199999996</v>
      </c>
    </row>
    <row r="73" spans="1:7" ht="13.5" thickBot="1" x14ac:dyDescent="0.25">
      <c r="A73" s="77"/>
      <c r="B73" s="78"/>
      <c r="C73" s="79"/>
      <c r="D73" s="79"/>
      <c r="E73" s="79"/>
      <c r="F73" s="80"/>
      <c r="G73" s="81"/>
    </row>
    <row r="74" spans="1:7" ht="26.45" customHeight="1" x14ac:dyDescent="0.2">
      <c r="A74" s="157"/>
      <c r="B74" s="158"/>
      <c r="C74" s="158"/>
      <c r="D74" s="158"/>
      <c r="E74" s="158"/>
      <c r="F74" s="158"/>
      <c r="G74" s="159"/>
    </row>
  </sheetData>
  <mergeCells count="4">
    <mergeCell ref="A1:A2"/>
    <mergeCell ref="C1:C2"/>
    <mergeCell ref="C72:F72"/>
    <mergeCell ref="A74:G74"/>
  </mergeCells>
  <pageMargins left="0.75" right="0.75" top="1" bottom="1" header="0.5" footer="0.5"/>
  <pageSetup paperSize="9" scale="6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W44"/>
  <sheetViews>
    <sheetView view="pageBreakPreview" topLeftCell="A3" zoomScale="85" zoomScaleNormal="90" zoomScaleSheetLayoutView="85" workbookViewId="0">
      <selection activeCell="B39" sqref="A39:B39"/>
    </sheetView>
  </sheetViews>
  <sheetFormatPr defaultColWidth="8.85546875" defaultRowHeight="12.75" x14ac:dyDescent="0.2"/>
  <cols>
    <col min="1" max="1" width="11" style="31" customWidth="1"/>
    <col min="2" max="2" width="7.7109375" style="31" bestFit="1" customWidth="1"/>
    <col min="3" max="3" width="72" style="4" customWidth="1"/>
    <col min="4" max="4" width="9.85546875" style="4" customWidth="1"/>
    <col min="5" max="5" width="10" style="4" customWidth="1"/>
    <col min="6" max="6" width="12.42578125" style="32" customWidth="1"/>
    <col min="7" max="7" width="12.7109375" style="4" customWidth="1"/>
    <col min="8" max="8" width="10.140625" style="4" customWidth="1"/>
    <col min="9" max="12" width="8.85546875" style="4"/>
    <col min="13" max="13" width="11.42578125" style="4" customWidth="1"/>
    <col min="14" max="15" width="9.85546875" style="4" customWidth="1"/>
    <col min="16" max="20" width="8.85546875" style="4"/>
    <col min="21" max="21" width="10.28515625" style="4" bestFit="1" customWidth="1"/>
    <col min="22" max="22" width="8.85546875" style="4"/>
    <col min="23" max="23" width="10.28515625" style="4" bestFit="1" customWidth="1"/>
    <col min="24" max="16384" width="8.85546875" style="4"/>
  </cols>
  <sheetData>
    <row r="1" spans="1:23" ht="15.75" customHeight="1" thickBot="1" x14ac:dyDescent="0.25">
      <c r="A1" s="151" t="s">
        <v>16</v>
      </c>
      <c r="B1" s="3"/>
      <c r="C1" s="160" t="s">
        <v>44</v>
      </c>
      <c r="D1" s="35"/>
      <c r="E1" s="36"/>
      <c r="F1" s="37" t="s">
        <v>17</v>
      </c>
      <c r="G1" s="38">
        <v>1</v>
      </c>
    </row>
    <row r="2" spans="1:23" ht="13.5" thickBot="1" x14ac:dyDescent="0.25">
      <c r="A2" s="152"/>
      <c r="B2" s="5"/>
      <c r="C2" s="161"/>
      <c r="D2" s="39"/>
      <c r="E2" s="36"/>
      <c r="F2" s="122" t="s">
        <v>18</v>
      </c>
      <c r="G2" s="40">
        <f ca="1">NOW()</f>
        <v>43649.803040393519</v>
      </c>
    </row>
    <row r="3" spans="1:23" ht="13.5" thickBot="1" x14ac:dyDescent="0.25">
      <c r="A3" s="41"/>
      <c r="B3" s="41"/>
      <c r="C3" s="39"/>
      <c r="D3" s="39"/>
      <c r="E3" s="39"/>
      <c r="F3" s="42"/>
      <c r="G3" s="39"/>
    </row>
    <row r="4" spans="1:23" x14ac:dyDescent="0.2">
      <c r="A4" s="6" t="s">
        <v>0</v>
      </c>
      <c r="B4" s="7" t="s">
        <v>12</v>
      </c>
      <c r="C4" s="8" t="s">
        <v>1</v>
      </c>
      <c r="D4" s="9" t="s">
        <v>2</v>
      </c>
      <c r="E4" s="7" t="s">
        <v>3</v>
      </c>
      <c r="F4" s="10" t="s">
        <v>4</v>
      </c>
      <c r="G4" s="11" t="s">
        <v>14</v>
      </c>
      <c r="I4" s="125"/>
      <c r="M4" s="125"/>
      <c r="W4" s="125"/>
    </row>
    <row r="5" spans="1:23" ht="13.5" thickBot="1" x14ac:dyDescent="0.25">
      <c r="A5" s="12" t="s">
        <v>5</v>
      </c>
      <c r="B5" s="13"/>
      <c r="C5" s="5" t="s">
        <v>6</v>
      </c>
      <c r="D5" s="14" t="s">
        <v>7</v>
      </c>
      <c r="E5" s="13" t="s">
        <v>8</v>
      </c>
      <c r="F5" s="15" t="s">
        <v>9</v>
      </c>
      <c r="G5" s="16" t="s">
        <v>61</v>
      </c>
    </row>
    <row r="6" spans="1:23" x14ac:dyDescent="0.2">
      <c r="A6" s="86"/>
      <c r="B6" s="87"/>
      <c r="C6" s="44"/>
      <c r="D6" s="45"/>
      <c r="E6" s="46"/>
      <c r="F6" s="88"/>
      <c r="G6" s="89"/>
      <c r="S6" s="130"/>
      <c r="U6" s="128">
        <f>T6*Q5</f>
        <v>0</v>
      </c>
      <c r="W6" s="129"/>
    </row>
    <row r="7" spans="1:23" ht="15" x14ac:dyDescent="0.2">
      <c r="A7" s="23"/>
      <c r="B7" s="24"/>
      <c r="C7" s="133" t="s">
        <v>45</v>
      </c>
      <c r="D7" s="120"/>
      <c r="E7" s="123"/>
      <c r="F7" s="124"/>
      <c r="G7" s="30"/>
    </row>
    <row r="8" spans="1:23" ht="15" x14ac:dyDescent="0.2">
      <c r="A8" s="23"/>
      <c r="B8" s="24"/>
      <c r="C8" s="134"/>
      <c r="D8" s="118"/>
      <c r="E8" s="118"/>
      <c r="F8" s="131"/>
      <c r="G8" s="132">
        <f t="shared" ref="G8:G24" si="0">F8*D8</f>
        <v>0</v>
      </c>
      <c r="H8" s="127"/>
      <c r="I8" s="128"/>
      <c r="M8" s="127"/>
      <c r="O8" s="130"/>
      <c r="P8" s="126"/>
      <c r="R8" s="128"/>
      <c r="U8" s="128"/>
    </row>
    <row r="9" spans="1:23" ht="15" x14ac:dyDescent="0.2">
      <c r="A9" s="17"/>
      <c r="B9" s="18"/>
      <c r="C9" s="135" t="s">
        <v>20</v>
      </c>
      <c r="D9" s="118"/>
      <c r="E9" s="118"/>
      <c r="F9" s="131"/>
      <c r="G9" s="132">
        <f t="shared" si="0"/>
        <v>0</v>
      </c>
    </row>
    <row r="10" spans="1:23" ht="15" x14ac:dyDescent="0.2">
      <c r="A10" s="23"/>
      <c r="B10" s="24"/>
      <c r="C10" s="136" t="s">
        <v>51</v>
      </c>
      <c r="D10" s="118"/>
      <c r="E10" s="118"/>
      <c r="F10" s="131"/>
      <c r="G10" s="132"/>
      <c r="U10" s="128"/>
    </row>
    <row r="11" spans="1:23" ht="15" x14ac:dyDescent="0.2">
      <c r="A11" s="17"/>
      <c r="B11" s="20"/>
      <c r="C11" s="137" t="s">
        <v>21</v>
      </c>
      <c r="D11" s="118"/>
      <c r="E11" s="118"/>
      <c r="F11" s="131"/>
      <c r="G11" s="132">
        <f t="shared" si="0"/>
        <v>0</v>
      </c>
    </row>
    <row r="12" spans="1:23" ht="15" x14ac:dyDescent="0.2">
      <c r="A12" s="23"/>
      <c r="B12" s="24"/>
      <c r="C12" s="136" t="s">
        <v>47</v>
      </c>
      <c r="D12" s="118"/>
      <c r="E12" s="118"/>
      <c r="F12" s="131"/>
      <c r="G12" s="132">
        <f t="shared" si="0"/>
        <v>0</v>
      </c>
      <c r="U12" s="128"/>
    </row>
    <row r="13" spans="1:23" ht="15" x14ac:dyDescent="0.2">
      <c r="A13" s="23"/>
      <c r="B13" s="24"/>
      <c r="C13" s="136" t="s">
        <v>46</v>
      </c>
      <c r="D13" s="118"/>
      <c r="E13" s="118"/>
      <c r="F13" s="131"/>
      <c r="G13" s="132">
        <f>F13*D13</f>
        <v>0</v>
      </c>
      <c r="H13" s="127"/>
      <c r="I13" s="128"/>
      <c r="P13" s="126"/>
      <c r="R13" s="128"/>
      <c r="W13" s="129"/>
    </row>
    <row r="14" spans="1:23" ht="15" x14ac:dyDescent="0.2">
      <c r="A14" s="23"/>
      <c r="B14" s="24"/>
      <c r="C14" s="136" t="s">
        <v>62</v>
      </c>
      <c r="D14" s="118"/>
      <c r="E14" s="118"/>
      <c r="F14" s="131"/>
      <c r="G14" s="132"/>
      <c r="H14" s="127"/>
      <c r="I14" s="128"/>
      <c r="P14" s="126"/>
      <c r="R14" s="128"/>
      <c r="W14" s="129"/>
    </row>
    <row r="15" spans="1:23" ht="15" x14ac:dyDescent="0.2">
      <c r="A15" s="23"/>
      <c r="B15" s="24"/>
      <c r="C15" s="138"/>
      <c r="D15" s="118"/>
      <c r="E15" s="118"/>
      <c r="F15" s="131"/>
      <c r="G15" s="132"/>
      <c r="U15" s="128"/>
    </row>
    <row r="16" spans="1:23" ht="15" x14ac:dyDescent="0.2">
      <c r="A16" s="23"/>
      <c r="B16" s="24"/>
      <c r="C16" s="136" t="s">
        <v>55</v>
      </c>
      <c r="D16" s="118"/>
      <c r="E16" s="118"/>
      <c r="F16" s="131"/>
      <c r="G16" s="132"/>
      <c r="U16" s="128"/>
    </row>
    <row r="17" spans="1:16" ht="15" x14ac:dyDescent="0.2">
      <c r="A17" s="23"/>
      <c r="B17" s="24"/>
      <c r="C17" s="138" t="s">
        <v>52</v>
      </c>
      <c r="D17" s="118"/>
      <c r="E17" s="118"/>
      <c r="F17" s="131"/>
      <c r="G17" s="132">
        <f t="shared" si="0"/>
        <v>0</v>
      </c>
      <c r="N17" s="128"/>
      <c r="P17" s="128"/>
    </row>
    <row r="18" spans="1:16" ht="15" x14ac:dyDescent="0.2">
      <c r="A18" s="23"/>
      <c r="B18" s="24"/>
      <c r="C18" s="138" t="s">
        <v>53</v>
      </c>
      <c r="D18" s="118"/>
      <c r="E18" s="118"/>
      <c r="F18" s="131"/>
      <c r="G18" s="132"/>
      <c r="N18" s="128"/>
      <c r="P18" s="128"/>
    </row>
    <row r="19" spans="1:16" ht="15" x14ac:dyDescent="0.2">
      <c r="A19" s="23"/>
      <c r="B19" s="24"/>
      <c r="C19" s="138" t="s">
        <v>54</v>
      </c>
      <c r="D19" s="118"/>
      <c r="E19" s="118"/>
      <c r="F19" s="131"/>
      <c r="G19" s="132"/>
      <c r="N19" s="128"/>
      <c r="P19" s="128"/>
    </row>
    <row r="20" spans="1:16" ht="15" x14ac:dyDescent="0.2">
      <c r="A20" s="23"/>
      <c r="B20" s="24"/>
      <c r="C20" s="138"/>
      <c r="D20" s="118"/>
      <c r="E20" s="118"/>
      <c r="F20" s="131"/>
      <c r="G20" s="132"/>
      <c r="N20" s="128"/>
      <c r="P20" s="128"/>
    </row>
    <row r="21" spans="1:16" ht="15" x14ac:dyDescent="0.2">
      <c r="A21" s="23"/>
      <c r="B21" s="24"/>
      <c r="C21" s="136" t="s">
        <v>48</v>
      </c>
      <c r="D21" s="118"/>
      <c r="E21" s="118"/>
      <c r="F21" s="131"/>
      <c r="G21" s="132">
        <f t="shared" si="0"/>
        <v>0</v>
      </c>
    </row>
    <row r="22" spans="1:16" ht="15" x14ac:dyDescent="0.2">
      <c r="A22" s="23"/>
      <c r="B22" s="24"/>
      <c r="C22" s="136" t="s">
        <v>49</v>
      </c>
      <c r="D22" s="118"/>
      <c r="E22" s="118"/>
      <c r="F22" s="131"/>
      <c r="G22" s="132">
        <f t="shared" si="0"/>
        <v>0</v>
      </c>
    </row>
    <row r="23" spans="1:16" ht="15" x14ac:dyDescent="0.2">
      <c r="A23" s="23"/>
      <c r="B23" s="24"/>
      <c r="C23" s="136" t="s">
        <v>50</v>
      </c>
      <c r="D23" s="118"/>
      <c r="E23" s="118"/>
      <c r="F23" s="131"/>
      <c r="G23" s="132"/>
    </row>
    <row r="24" spans="1:16" ht="15" x14ac:dyDescent="0.2">
      <c r="A24" s="23"/>
      <c r="B24" s="24"/>
      <c r="C24" s="138"/>
      <c r="D24" s="118"/>
      <c r="E24" s="118"/>
      <c r="F24" s="131"/>
      <c r="G24" s="132">
        <f t="shared" si="0"/>
        <v>0</v>
      </c>
    </row>
    <row r="25" spans="1:16" ht="15" x14ac:dyDescent="0.2">
      <c r="A25" s="23"/>
      <c r="B25" s="24"/>
      <c r="C25" s="138"/>
      <c r="D25" s="26"/>
      <c r="E25" s="118"/>
      <c r="F25" s="131"/>
      <c r="G25" s="21"/>
    </row>
    <row r="26" spans="1:16" x14ac:dyDescent="0.2">
      <c r="A26" s="23"/>
      <c r="B26" s="24"/>
      <c r="C26" s="27"/>
      <c r="D26" s="28"/>
      <c r="E26" s="29"/>
      <c r="F26" s="119"/>
      <c r="G26" s="30"/>
    </row>
    <row r="27" spans="1:16" ht="13.5" thickBot="1" x14ac:dyDescent="0.25">
      <c r="A27" s="12"/>
      <c r="B27" s="90"/>
      <c r="C27" s="91"/>
      <c r="D27" s="92"/>
      <c r="E27" s="93"/>
      <c r="F27" s="94"/>
      <c r="G27" s="95">
        <f>SUM(G6:G24)</f>
        <v>0</v>
      </c>
    </row>
    <row r="28" spans="1:16" x14ac:dyDescent="0.2">
      <c r="A28" s="103" t="s">
        <v>13</v>
      </c>
      <c r="B28" s="104"/>
      <c r="C28" s="105"/>
      <c r="D28" s="106"/>
      <c r="E28" s="107"/>
      <c r="F28" s="108"/>
      <c r="G28" s="109">
        <f>IF(D28&gt;-0.01,D28*F28,"Omission")</f>
        <v>0</v>
      </c>
    </row>
    <row r="29" spans="1:16" x14ac:dyDescent="0.2">
      <c r="A29" s="43"/>
      <c r="B29" s="19"/>
      <c r="C29" s="48"/>
      <c r="D29" s="49"/>
      <c r="E29" s="50"/>
      <c r="F29" s="51"/>
      <c r="G29" s="47">
        <f>IF(D29&gt;-0.01,D29*F29,"Omission")</f>
        <v>0</v>
      </c>
    </row>
    <row r="30" spans="1:16" x14ac:dyDescent="0.2">
      <c r="A30" s="23"/>
      <c r="B30" s="24"/>
      <c r="C30" s="48"/>
      <c r="D30" s="49"/>
      <c r="E30" s="50"/>
      <c r="F30" s="51"/>
      <c r="G30" s="47"/>
    </row>
    <row r="31" spans="1:16" ht="13.5" thickBot="1" x14ac:dyDescent="0.25">
      <c r="A31" s="43"/>
      <c r="B31" s="19"/>
      <c r="C31" s="48"/>
      <c r="D31" s="49"/>
      <c r="E31" s="50"/>
      <c r="F31" s="51"/>
      <c r="G31" s="47"/>
    </row>
    <row r="32" spans="1:16" x14ac:dyDescent="0.2">
      <c r="A32" s="103" t="s">
        <v>15</v>
      </c>
      <c r="B32" s="104"/>
      <c r="C32" s="105"/>
      <c r="D32" s="106"/>
      <c r="E32" s="107"/>
      <c r="F32" s="108"/>
      <c r="G32" s="109">
        <f>IF(D32&gt;-0.01,D32*F32,"Omission")</f>
        <v>0</v>
      </c>
    </row>
    <row r="33" spans="1:10" x14ac:dyDescent="0.2">
      <c r="A33" s="43"/>
      <c r="B33" s="19"/>
      <c r="C33" s="48"/>
      <c r="D33" s="49"/>
      <c r="E33" s="50"/>
      <c r="F33" s="51"/>
      <c r="G33" s="47"/>
    </row>
    <row r="34" spans="1:10" x14ac:dyDescent="0.2">
      <c r="A34" s="43"/>
      <c r="B34" s="19"/>
      <c r="C34" s="48"/>
      <c r="D34" s="49"/>
      <c r="E34" s="50"/>
      <c r="F34" s="51"/>
      <c r="G34" s="47"/>
    </row>
    <row r="35" spans="1:10" ht="13.5" thickBot="1" x14ac:dyDescent="0.25">
      <c r="A35" s="112"/>
      <c r="B35" s="13"/>
      <c r="C35" s="113"/>
      <c r="D35" s="114"/>
      <c r="E35" s="115"/>
      <c r="F35" s="116"/>
      <c r="G35" s="117">
        <f>IF(D35&gt;-0.01,D35*F35,"Omission")</f>
        <v>0</v>
      </c>
    </row>
    <row r="36" spans="1:10" x14ac:dyDescent="0.2">
      <c r="A36" s="96"/>
      <c r="B36" s="97"/>
      <c r="C36" s="98" t="s">
        <v>10</v>
      </c>
      <c r="D36" s="99"/>
      <c r="E36" s="100"/>
      <c r="F36" s="101"/>
      <c r="G36" s="102">
        <f>SUM(G27)</f>
        <v>0</v>
      </c>
    </row>
    <row r="37" spans="1:10" x14ac:dyDescent="0.2">
      <c r="A37" s="52"/>
      <c r="B37" s="53"/>
      <c r="C37" s="54"/>
      <c r="D37" s="55"/>
      <c r="E37" s="56"/>
      <c r="F37" s="57"/>
      <c r="G37" s="58"/>
    </row>
    <row r="38" spans="1:10" x14ac:dyDescent="0.2">
      <c r="A38" s="52"/>
      <c r="B38" s="33"/>
      <c r="C38" s="59"/>
      <c r="D38" s="60"/>
      <c r="E38" s="61"/>
      <c r="F38" s="62"/>
      <c r="G38" s="63"/>
    </row>
    <row r="39" spans="1:10" x14ac:dyDescent="0.2">
      <c r="A39" s="52"/>
      <c r="B39" s="64"/>
      <c r="C39" s="54"/>
      <c r="D39" s="65"/>
      <c r="E39" s="56"/>
      <c r="F39" s="66"/>
      <c r="G39" s="58"/>
    </row>
    <row r="40" spans="1:10" ht="13.5" thickBot="1" x14ac:dyDescent="0.25">
      <c r="A40" s="67"/>
      <c r="B40" s="68"/>
      <c r="C40" s="69"/>
      <c r="D40" s="70"/>
      <c r="E40" s="71"/>
      <c r="F40" s="72"/>
      <c r="G40" s="73"/>
    </row>
    <row r="41" spans="1:10" ht="13.5" thickBot="1" x14ac:dyDescent="0.25">
      <c r="A41" s="74"/>
      <c r="B41" s="75"/>
      <c r="C41" s="155" t="s">
        <v>11</v>
      </c>
      <c r="D41" s="155"/>
      <c r="E41" s="155"/>
      <c r="F41" s="156"/>
      <c r="G41" s="76">
        <f>SUM(G36:G40)</f>
        <v>0</v>
      </c>
    </row>
    <row r="42" spans="1:10" ht="13.5" thickBot="1" x14ac:dyDescent="0.25">
      <c r="A42" s="77"/>
      <c r="B42" s="78"/>
      <c r="C42" s="79"/>
      <c r="D42" s="79"/>
      <c r="E42" s="79"/>
      <c r="F42" s="80"/>
      <c r="G42" s="81"/>
    </row>
    <row r="43" spans="1:10" x14ac:dyDescent="0.2">
      <c r="A43" s="82"/>
      <c r="B43" s="82"/>
      <c r="C43" s="83"/>
      <c r="D43" s="83"/>
      <c r="E43" s="83"/>
      <c r="F43" s="84"/>
      <c r="G43" s="85"/>
      <c r="J43" s="34"/>
    </row>
    <row r="44" spans="1:10" ht="26.45" customHeight="1" x14ac:dyDescent="0.2">
      <c r="A44" s="157"/>
      <c r="B44" s="158"/>
      <c r="C44" s="158"/>
      <c r="D44" s="158"/>
      <c r="E44" s="158"/>
      <c r="F44" s="158"/>
      <c r="G44" s="159"/>
    </row>
  </sheetData>
  <mergeCells count="4">
    <mergeCell ref="A1:A2"/>
    <mergeCell ref="C1:C2"/>
    <mergeCell ref="A44:G44"/>
    <mergeCell ref="C41:F41"/>
  </mergeCells>
  <pageMargins left="0.75" right="0.75" top="1" bottom="1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35"/>
  <sheetViews>
    <sheetView workbookViewId="0">
      <selection activeCell="Q17" sqref="Q17"/>
    </sheetView>
  </sheetViews>
  <sheetFormatPr defaultRowHeight="12.75" x14ac:dyDescent="0.2"/>
  <cols>
    <col min="1" max="1" width="8.28515625" customWidth="1"/>
    <col min="2" max="2" width="15.28515625" customWidth="1"/>
    <col min="4" max="4" width="3.5703125" customWidth="1"/>
    <col min="5" max="6" width="5" bestFit="1" customWidth="1"/>
    <col min="7" max="7" width="5.85546875" customWidth="1"/>
    <col min="8" max="8" width="8.5703125" customWidth="1"/>
    <col min="9" max="9" width="14.85546875" customWidth="1"/>
  </cols>
  <sheetData>
    <row r="2" spans="1:19" x14ac:dyDescent="0.2">
      <c r="B2" t="s">
        <v>86</v>
      </c>
    </row>
    <row r="3" spans="1:19" x14ac:dyDescent="0.2">
      <c r="B3" s="143" t="s">
        <v>101</v>
      </c>
      <c r="I3" s="143" t="s">
        <v>102</v>
      </c>
      <c r="P3" s="144" t="s">
        <v>113</v>
      </c>
    </row>
    <row r="4" spans="1:19" x14ac:dyDescent="0.2">
      <c r="C4" t="s">
        <v>94</v>
      </c>
      <c r="E4" t="s">
        <v>90</v>
      </c>
      <c r="F4" t="s">
        <v>91</v>
      </c>
      <c r="J4" t="s">
        <v>94</v>
      </c>
      <c r="K4" s="144" t="s">
        <v>105</v>
      </c>
      <c r="L4" t="s">
        <v>90</v>
      </c>
      <c r="M4" t="s">
        <v>91</v>
      </c>
      <c r="P4" t="s">
        <v>114</v>
      </c>
      <c r="Q4" t="s">
        <v>115</v>
      </c>
    </row>
    <row r="5" spans="1:19" x14ac:dyDescent="0.2">
      <c r="A5" t="s">
        <v>88</v>
      </c>
      <c r="B5" t="s">
        <v>87</v>
      </c>
      <c r="C5">
        <v>3.5419999999999998</v>
      </c>
      <c r="H5" t="s">
        <v>88</v>
      </c>
      <c r="I5" t="s">
        <v>87</v>
      </c>
      <c r="J5">
        <v>2.3610000000000002</v>
      </c>
      <c r="K5" s="144">
        <f>J5*3</f>
        <v>7.0830000000000002</v>
      </c>
      <c r="P5">
        <v>2.19</v>
      </c>
      <c r="Q5">
        <v>1</v>
      </c>
      <c r="R5">
        <f>P5*Q5</f>
        <v>2.19</v>
      </c>
    </row>
    <row r="6" spans="1:19" x14ac:dyDescent="0.2">
      <c r="B6" t="s">
        <v>89</v>
      </c>
      <c r="C6">
        <f>SUM(E6+F6)/2</f>
        <v>2.7949999999999999</v>
      </c>
      <c r="E6">
        <v>2.19</v>
      </c>
      <c r="F6">
        <v>3.4</v>
      </c>
      <c r="H6" s="144" t="s">
        <v>103</v>
      </c>
      <c r="I6" t="s">
        <v>89</v>
      </c>
      <c r="J6">
        <f>SUM(L6+M6)/2</f>
        <v>4.8319999999999999</v>
      </c>
      <c r="K6" s="144">
        <f>J6</f>
        <v>4.8319999999999999</v>
      </c>
      <c r="L6">
        <v>4.8319999999999999</v>
      </c>
      <c r="M6">
        <v>4.8319999999999999</v>
      </c>
      <c r="P6">
        <f>F6</f>
        <v>3.4</v>
      </c>
      <c r="Q6">
        <v>2</v>
      </c>
      <c r="R6">
        <f t="shared" ref="R6:R11" si="0">P6*Q6</f>
        <v>6.8</v>
      </c>
    </row>
    <row r="7" spans="1:19" x14ac:dyDescent="0.2">
      <c r="B7" t="s">
        <v>92</v>
      </c>
      <c r="C7">
        <f>E6+F6</f>
        <v>5.59</v>
      </c>
      <c r="H7" s="144" t="s">
        <v>104</v>
      </c>
      <c r="I7" t="s">
        <v>92</v>
      </c>
      <c r="J7">
        <f>L6+M6</f>
        <v>9.6639999999999997</v>
      </c>
      <c r="K7" s="144">
        <f>J7*3</f>
        <v>28.991999999999997</v>
      </c>
      <c r="P7">
        <f>F14</f>
        <v>4.67</v>
      </c>
      <c r="Q7">
        <v>2</v>
      </c>
      <c r="R7">
        <f t="shared" si="0"/>
        <v>9.34</v>
      </c>
    </row>
    <row r="8" spans="1:19" x14ac:dyDescent="0.2">
      <c r="B8" t="s">
        <v>93</v>
      </c>
      <c r="C8">
        <v>4.5</v>
      </c>
      <c r="I8" t="s">
        <v>93</v>
      </c>
      <c r="J8">
        <f>J5</f>
        <v>2.3610000000000002</v>
      </c>
      <c r="K8" s="144">
        <f>J8*3</f>
        <v>7.0830000000000002</v>
      </c>
      <c r="P8">
        <f>F22</f>
        <v>5.6</v>
      </c>
      <c r="Q8">
        <v>3</v>
      </c>
      <c r="R8">
        <f t="shared" si="0"/>
        <v>16.799999999999997</v>
      </c>
    </row>
    <row r="9" spans="1:19" x14ac:dyDescent="0.2">
      <c r="B9" t="s">
        <v>95</v>
      </c>
      <c r="C9">
        <f>C7/0.45</f>
        <v>12.422222222222221</v>
      </c>
      <c r="I9" t="s">
        <v>95</v>
      </c>
      <c r="J9">
        <f>J7/0.45</f>
        <v>21.475555555555555</v>
      </c>
      <c r="K9" s="144">
        <f>J9*3</f>
        <v>64.426666666666662</v>
      </c>
      <c r="P9">
        <f>L6</f>
        <v>4.8319999999999999</v>
      </c>
      <c r="Q9">
        <v>6</v>
      </c>
      <c r="R9">
        <f t="shared" si="0"/>
        <v>28.991999999999997</v>
      </c>
    </row>
    <row r="10" spans="1:19" x14ac:dyDescent="0.2">
      <c r="B10" t="s">
        <v>97</v>
      </c>
      <c r="C10">
        <f>C5*C6</f>
        <v>9.8998899999999992</v>
      </c>
      <c r="I10" t="s">
        <v>97</v>
      </c>
      <c r="J10">
        <f>J5*J6</f>
        <v>11.408352000000001</v>
      </c>
      <c r="K10" s="144">
        <f>J10*3</f>
        <v>34.225056000000002</v>
      </c>
      <c r="P10">
        <f>L14</f>
        <v>5.6639999999999997</v>
      </c>
      <c r="Q10">
        <v>2</v>
      </c>
      <c r="R10">
        <f t="shared" si="0"/>
        <v>11.327999999999999</v>
      </c>
    </row>
    <row r="11" spans="1:19" x14ac:dyDescent="0.2">
      <c r="P11">
        <f>L22/2</f>
        <v>5.6840000000000002</v>
      </c>
      <c r="Q11">
        <v>2</v>
      </c>
      <c r="R11">
        <f t="shared" si="0"/>
        <v>11.368</v>
      </c>
    </row>
    <row r="12" spans="1:19" x14ac:dyDescent="0.2">
      <c r="C12" t="s">
        <v>94</v>
      </c>
      <c r="E12" t="s">
        <v>90</v>
      </c>
      <c r="F12" t="s">
        <v>91</v>
      </c>
      <c r="J12" t="s">
        <v>94</v>
      </c>
      <c r="L12" t="s">
        <v>90</v>
      </c>
      <c r="M12" t="s">
        <v>91</v>
      </c>
      <c r="R12">
        <f>SUM(R5:R11)</f>
        <v>86.817999999999984</v>
      </c>
      <c r="S12" t="s">
        <v>78</v>
      </c>
    </row>
    <row r="13" spans="1:19" x14ac:dyDescent="0.2">
      <c r="A13" t="s">
        <v>96</v>
      </c>
      <c r="B13" t="s">
        <v>87</v>
      </c>
      <c r="C13">
        <v>3.4</v>
      </c>
      <c r="H13" t="s">
        <v>96</v>
      </c>
      <c r="I13" t="s">
        <v>87</v>
      </c>
      <c r="J13">
        <v>6.819</v>
      </c>
    </row>
    <row r="14" spans="1:19" x14ac:dyDescent="0.2">
      <c r="B14" t="s">
        <v>89</v>
      </c>
      <c r="C14">
        <f>SUM(E14+F14)/2</f>
        <v>4.0350000000000001</v>
      </c>
      <c r="E14">
        <v>3.4</v>
      </c>
      <c r="F14">
        <v>4.67</v>
      </c>
      <c r="H14" s="144" t="s">
        <v>106</v>
      </c>
      <c r="I14" t="s">
        <v>89</v>
      </c>
      <c r="J14">
        <v>2.8319999999999999</v>
      </c>
      <c r="L14">
        <f>J14*2</f>
        <v>5.6639999999999997</v>
      </c>
      <c r="M14">
        <f>J14*2</f>
        <v>5.6639999999999997</v>
      </c>
    </row>
    <row r="15" spans="1:19" x14ac:dyDescent="0.2">
      <c r="B15" t="s">
        <v>92</v>
      </c>
      <c r="C15">
        <f>E14+F14</f>
        <v>8.07</v>
      </c>
      <c r="I15" t="s">
        <v>92</v>
      </c>
      <c r="J15">
        <f>L14+M14</f>
        <v>11.327999999999999</v>
      </c>
    </row>
    <row r="16" spans="1:19" x14ac:dyDescent="0.2">
      <c r="B16" t="s">
        <v>93</v>
      </c>
      <c r="C16">
        <v>4.5</v>
      </c>
      <c r="I16" t="s">
        <v>93</v>
      </c>
      <c r="J16">
        <f>J13</f>
        <v>6.819</v>
      </c>
    </row>
    <row r="17" spans="1:13" x14ac:dyDescent="0.2">
      <c r="B17" t="s">
        <v>95</v>
      </c>
      <c r="C17">
        <f>C15/0.45</f>
        <v>17.933333333333334</v>
      </c>
      <c r="I17" t="s">
        <v>95</v>
      </c>
      <c r="J17">
        <f>J15/0.45</f>
        <v>25.173333333333332</v>
      </c>
    </row>
    <row r="18" spans="1:13" x14ac:dyDescent="0.2">
      <c r="B18" t="s">
        <v>97</v>
      </c>
      <c r="C18">
        <f>C13*C14</f>
        <v>13.718999999999999</v>
      </c>
      <c r="I18" t="s">
        <v>97</v>
      </c>
      <c r="J18">
        <f>J13*J14</f>
        <v>19.311408</v>
      </c>
    </row>
    <row r="20" spans="1:13" x14ac:dyDescent="0.2">
      <c r="C20" t="s">
        <v>94</v>
      </c>
      <c r="E20" t="s">
        <v>90</v>
      </c>
      <c r="F20" t="s">
        <v>91</v>
      </c>
      <c r="J20" t="s">
        <v>94</v>
      </c>
      <c r="L20" t="s">
        <v>90</v>
      </c>
      <c r="M20" t="s">
        <v>91</v>
      </c>
    </row>
    <row r="21" spans="1:13" x14ac:dyDescent="0.2">
      <c r="A21" t="s">
        <v>98</v>
      </c>
      <c r="B21" t="s">
        <v>87</v>
      </c>
      <c r="C21">
        <v>3.4</v>
      </c>
      <c r="H21" t="s">
        <v>98</v>
      </c>
      <c r="I21" t="s">
        <v>87</v>
      </c>
      <c r="J21">
        <v>10.3</v>
      </c>
    </row>
    <row r="22" spans="1:13" x14ac:dyDescent="0.2">
      <c r="B22" t="s">
        <v>89</v>
      </c>
      <c r="C22">
        <f>SUM(E22+F22)/2</f>
        <v>5.1349999999999998</v>
      </c>
      <c r="E22">
        <v>4.67</v>
      </c>
      <c r="F22">
        <v>5.6</v>
      </c>
      <c r="H22" s="144" t="s">
        <v>107</v>
      </c>
      <c r="I22" t="s">
        <v>89</v>
      </c>
      <c r="J22">
        <v>2.8420000000000001</v>
      </c>
      <c r="L22">
        <f>J22*4</f>
        <v>11.368</v>
      </c>
      <c r="M22">
        <f>J22*4</f>
        <v>11.368</v>
      </c>
    </row>
    <row r="23" spans="1:13" x14ac:dyDescent="0.2">
      <c r="B23" t="s">
        <v>92</v>
      </c>
      <c r="C23">
        <f>E22+F22</f>
        <v>10.27</v>
      </c>
      <c r="I23" t="s">
        <v>92</v>
      </c>
      <c r="J23">
        <f>L22+M22</f>
        <v>22.736000000000001</v>
      </c>
    </row>
    <row r="24" spans="1:13" x14ac:dyDescent="0.2">
      <c r="B24" t="s">
        <v>93</v>
      </c>
      <c r="C24">
        <v>4.5</v>
      </c>
      <c r="I24" t="s">
        <v>93</v>
      </c>
      <c r="J24">
        <f>J21</f>
        <v>10.3</v>
      </c>
    </row>
    <row r="25" spans="1:13" x14ac:dyDescent="0.2">
      <c r="B25" t="s">
        <v>95</v>
      </c>
      <c r="C25">
        <f>C23/0.45</f>
        <v>22.822222222222219</v>
      </c>
      <c r="I25" t="s">
        <v>95</v>
      </c>
      <c r="J25">
        <f>J23/0.45</f>
        <v>50.524444444444441</v>
      </c>
    </row>
    <row r="26" spans="1:13" x14ac:dyDescent="0.2">
      <c r="B26" t="s">
        <v>97</v>
      </c>
      <c r="C26">
        <f>C21*C22</f>
        <v>17.459</v>
      </c>
      <c r="I26" t="s">
        <v>97</v>
      </c>
      <c r="J26">
        <f>J21*J22</f>
        <v>29.272600000000004</v>
      </c>
    </row>
    <row r="28" spans="1:13" x14ac:dyDescent="0.2">
      <c r="C28" t="s">
        <v>94</v>
      </c>
      <c r="E28" t="s">
        <v>90</v>
      </c>
      <c r="F28" t="s">
        <v>91</v>
      </c>
    </row>
    <row r="29" spans="1:13" x14ac:dyDescent="0.2">
      <c r="A29" t="s">
        <v>99</v>
      </c>
      <c r="B29" t="s">
        <v>87</v>
      </c>
      <c r="C29">
        <v>2.9</v>
      </c>
      <c r="I29" s="145" t="s">
        <v>92</v>
      </c>
      <c r="J29" s="146">
        <f>C7+C15+C23+C31+J23+J15+J7</f>
        <v>84.457999999999998</v>
      </c>
      <c r="K29" s="145" t="s">
        <v>108</v>
      </c>
    </row>
    <row r="30" spans="1:13" x14ac:dyDescent="0.2">
      <c r="B30" t="s">
        <v>89</v>
      </c>
      <c r="C30">
        <f>SUM(E30+F30)/2</f>
        <v>5.6</v>
      </c>
      <c r="E30">
        <v>5.6</v>
      </c>
      <c r="F30">
        <v>5.6</v>
      </c>
      <c r="I30" s="145" t="s">
        <v>93</v>
      </c>
      <c r="J30" s="146">
        <f>C8+C16+C24+C32+J24+J16+J8</f>
        <v>37.979999999999997</v>
      </c>
      <c r="K30" s="145" t="s">
        <v>108</v>
      </c>
    </row>
    <row r="31" spans="1:13" x14ac:dyDescent="0.2">
      <c r="B31" t="s">
        <v>92</v>
      </c>
      <c r="C31">
        <f>E30+F30*2</f>
        <v>16.799999999999997</v>
      </c>
      <c r="I31" s="145" t="s">
        <v>95</v>
      </c>
      <c r="J31" s="146">
        <f>C9+C17+C25+C33+J25+J17+J9</f>
        <v>187.68444444444447</v>
      </c>
      <c r="K31" s="145" t="s">
        <v>76</v>
      </c>
    </row>
    <row r="32" spans="1:13" x14ac:dyDescent="0.2">
      <c r="B32" t="s">
        <v>93</v>
      </c>
      <c r="C32">
        <v>5</v>
      </c>
      <c r="I32" s="145" t="s">
        <v>97</v>
      </c>
      <c r="J32" s="146">
        <f>C10+C18+C26+C34+J26+J18+K10</f>
        <v>140.12695399999998</v>
      </c>
      <c r="K32" s="145" t="s">
        <v>19</v>
      </c>
    </row>
    <row r="33" spans="2:11" x14ac:dyDescent="0.2">
      <c r="B33" t="s">
        <v>95</v>
      </c>
      <c r="C33">
        <f>C31/0.45</f>
        <v>37.333333333333329</v>
      </c>
      <c r="I33" s="145" t="str">
        <f>B35</f>
        <v>lintol</v>
      </c>
      <c r="J33" s="146">
        <v>1</v>
      </c>
      <c r="K33" s="145"/>
    </row>
    <row r="34" spans="2:11" x14ac:dyDescent="0.2">
      <c r="B34" t="s">
        <v>97</v>
      </c>
      <c r="C34">
        <f>C29*C30</f>
        <v>16.239999999999998</v>
      </c>
    </row>
    <row r="35" spans="2:11" x14ac:dyDescent="0.2">
      <c r="B35" t="s">
        <v>100</v>
      </c>
      <c r="C35">
        <v>1.3</v>
      </c>
      <c r="D35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Quotation</vt:lpstr>
      <vt:lpstr>SoRs</vt:lpstr>
      <vt:lpstr>Dims</vt:lpstr>
      <vt:lpstr>Quotation!Print_Area</vt:lpstr>
      <vt:lpstr>SoRs!Print_Area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x</cp:lastModifiedBy>
  <cp:lastPrinted>2018-05-24T21:00:35Z</cp:lastPrinted>
  <dcterms:created xsi:type="dcterms:W3CDTF">2014-09-23T11:57:16Z</dcterms:created>
  <dcterms:modified xsi:type="dcterms:W3CDTF">2019-07-03T18:16:50Z</dcterms:modified>
</cp:coreProperties>
</file>